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13_ncr:1_{37DBD285-D9E5-4FDF-88ED-9CA4872CEEA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Pos_NoFlash" sheetId="2" r:id="rId1"/>
    <sheet name="Neg_NoFlash" sheetId="3" r:id="rId2"/>
    <sheet name="Pos_Flash" sheetId="1" r:id="rId3"/>
    <sheet name="Neg_Flash" sheetId="7" r:id="rId4"/>
    <sheet name="Pos_NoFlash_125model" sheetId="8" r:id="rId5"/>
    <sheet name="Neg_NoFlash_125model" sheetId="9" r:id="rId6"/>
    <sheet name="Pos_NoFlash_63model" sheetId="10" r:id="rId7"/>
    <sheet name="Neg_NoFlash_63model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0" l="1"/>
  <c r="K41" i="8"/>
  <c r="K53" i="10"/>
  <c r="L1" i="10"/>
  <c r="L45" i="8"/>
  <c r="L46" i="8"/>
  <c r="L47" i="2"/>
  <c r="L46" i="2"/>
  <c r="L39" i="8"/>
  <c r="L38" i="8"/>
  <c r="L38" i="2"/>
  <c r="L39" i="2"/>
  <c r="L43" i="1"/>
  <c r="L1" i="8"/>
  <c r="L3" i="3"/>
  <c r="L3" i="7"/>
  <c r="L1" i="3"/>
  <c r="L1" i="7"/>
</calcChain>
</file>

<file path=xl/sharedStrings.xml><?xml version="1.0" encoding="utf-8"?>
<sst xmlns="http://schemas.openxmlformats.org/spreadsheetml/2006/main" count="2159" uniqueCount="24">
  <si>
    <t>Strip_ID</t>
  </si>
  <si>
    <t>Analyte_Conc (ng/mL)</t>
  </si>
  <si>
    <t>True_Label</t>
  </si>
  <si>
    <t>P</t>
  </si>
  <si>
    <t>Prediction 1</t>
  </si>
  <si>
    <t>Prediction 2</t>
  </si>
  <si>
    <t>Prediction 3</t>
  </si>
  <si>
    <t>Prediction 4</t>
  </si>
  <si>
    <t>Prediction 5</t>
  </si>
  <si>
    <t>p</t>
  </si>
  <si>
    <t>N</t>
  </si>
  <si>
    <t>n</t>
  </si>
  <si>
    <t>Not tested b/c the classification for 125ng/mL was just better than chance</t>
  </si>
  <si>
    <t>TP (up to 250ng/mL):</t>
  </si>
  <si>
    <t>TN:</t>
  </si>
  <si>
    <t>FP:</t>
  </si>
  <si>
    <t>125ng/mL Accuracy:</t>
  </si>
  <si>
    <t>Recall with 125 =</t>
  </si>
  <si>
    <t>Recall without 125 =</t>
  </si>
  <si>
    <t>Not tested</t>
  </si>
  <si>
    <t>Percision without 125 =</t>
  </si>
  <si>
    <t>Percision with 125 =</t>
  </si>
  <si>
    <t xml:space="preserve">125ng/mL Accuracy = </t>
  </si>
  <si>
    <t>63ng/mL Accuracy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</si>
</sst>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horizontal="center"/>
    </xf>
    <xf numFmtId="9" fontId="0" fillId="0" borderId="0" xfId="2" applyFont="1"/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 wrapText="1"/>
    </xf>
    <xf numFmtId="43" fontId="0" fillId="0" borderId="0" xfId="1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36"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zoomScale="85" zoomScaleNormal="85" workbookViewId="0">
      <selection activeCell="H1" sqref="H1"/>
    </sheetView>
  </sheetViews>
  <sheetFormatPr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0.81640625" bestFit="1" customWidth="1"/>
    <col min="11" max="11" width="20.54296875" bestFit="1" customWidth="1"/>
    <col min="12" max="12" width="12" bestFit="1" customWidth="1"/>
  </cols>
  <sheetData>
    <row r="1" spans="1:11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K1" s="2"/>
    </row>
    <row r="2" spans="1:11" x14ac:dyDescent="0.35">
      <c r="A2" s="4">
        <v>1</v>
      </c>
      <c r="B2" s="2">
        <v>1000</v>
      </c>
      <c r="C2" s="2" t="s">
        <v>3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11" x14ac:dyDescent="0.35">
      <c r="A3" s="4">
        <v>2</v>
      </c>
      <c r="B3" s="2">
        <v>1000</v>
      </c>
      <c r="C3" s="2" t="s">
        <v>3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11" x14ac:dyDescent="0.35">
      <c r="A4" s="4">
        <v>3</v>
      </c>
      <c r="B4" s="2">
        <v>1000</v>
      </c>
      <c r="C4" s="2" t="s">
        <v>3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11" x14ac:dyDescent="0.35">
      <c r="A5" s="4">
        <v>4</v>
      </c>
      <c r="B5" s="2">
        <v>1000</v>
      </c>
      <c r="C5" s="2" t="s">
        <v>3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11" x14ac:dyDescent="0.35">
      <c r="A6" s="4">
        <v>5</v>
      </c>
      <c r="B6" s="2">
        <v>1000</v>
      </c>
      <c r="C6" s="2" t="s">
        <v>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11" x14ac:dyDescent="0.35">
      <c r="A7" s="4">
        <v>6</v>
      </c>
      <c r="B7" s="2">
        <v>1000</v>
      </c>
      <c r="C7" s="2" t="s">
        <v>3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11" x14ac:dyDescent="0.35">
      <c r="A8" s="4">
        <v>7</v>
      </c>
      <c r="B8" s="2">
        <v>1000</v>
      </c>
      <c r="C8" s="2" t="s">
        <v>3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11" x14ac:dyDescent="0.35">
      <c r="A9" s="4">
        <v>8</v>
      </c>
      <c r="B9" s="2">
        <v>1000</v>
      </c>
      <c r="C9" s="2" t="s">
        <v>3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 spans="1:11" x14ac:dyDescent="0.35">
      <c r="A10" s="4">
        <v>9</v>
      </c>
      <c r="B10" s="2">
        <v>1000</v>
      </c>
      <c r="C10" s="2" t="s">
        <v>3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 spans="1:11" x14ac:dyDescent="0.35">
      <c r="A11" s="4">
        <v>10</v>
      </c>
      <c r="B11" s="2">
        <v>1000</v>
      </c>
      <c r="C11" s="2" t="s">
        <v>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</row>
    <row r="12" spans="1:11" x14ac:dyDescent="0.35">
      <c r="A12" s="4">
        <v>11</v>
      </c>
      <c r="B12" s="2">
        <v>1000</v>
      </c>
      <c r="C12" s="2" t="s">
        <v>3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</row>
    <row r="13" spans="1:11" x14ac:dyDescent="0.35">
      <c r="A13" s="4">
        <v>12</v>
      </c>
      <c r="B13" s="2">
        <v>1000</v>
      </c>
      <c r="C13" s="2" t="s">
        <v>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 spans="1:11" x14ac:dyDescent="0.35">
      <c r="A14" s="4">
        <v>13</v>
      </c>
      <c r="B14" s="2">
        <v>1000</v>
      </c>
      <c r="C14" s="2" t="s">
        <v>3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</row>
    <row r="15" spans="1:11" x14ac:dyDescent="0.35">
      <c r="A15" s="4">
        <v>14</v>
      </c>
      <c r="B15" s="2">
        <v>1000</v>
      </c>
      <c r="C15" s="2" t="s">
        <v>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</row>
    <row r="16" spans="1:11" x14ac:dyDescent="0.35">
      <c r="A16" s="5">
        <v>15</v>
      </c>
      <c r="B16" s="6">
        <v>1000</v>
      </c>
      <c r="C16" s="6" t="s">
        <v>3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</row>
    <row r="17" spans="1:8" x14ac:dyDescent="0.35">
      <c r="A17" s="4">
        <v>16</v>
      </c>
      <c r="B17" s="2">
        <v>500</v>
      </c>
      <c r="C17" s="2" t="s">
        <v>3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</row>
    <row r="18" spans="1:8" x14ac:dyDescent="0.35">
      <c r="A18" s="4">
        <v>17</v>
      </c>
      <c r="B18" s="2">
        <v>500</v>
      </c>
      <c r="C18" s="2" t="s">
        <v>3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</row>
    <row r="19" spans="1:8" x14ac:dyDescent="0.35">
      <c r="A19" s="4">
        <v>18</v>
      </c>
      <c r="B19" s="2">
        <v>500</v>
      </c>
      <c r="C19" s="2" t="s">
        <v>3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</row>
    <row r="20" spans="1:8" x14ac:dyDescent="0.35">
      <c r="A20" s="4">
        <v>19</v>
      </c>
      <c r="B20" s="2">
        <v>500</v>
      </c>
      <c r="C20" s="2" t="s">
        <v>3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spans="1:8" x14ac:dyDescent="0.35">
      <c r="A21" s="4">
        <v>20</v>
      </c>
      <c r="B21" s="2">
        <v>500</v>
      </c>
      <c r="C21" s="2" t="s">
        <v>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</row>
    <row r="22" spans="1:8" x14ac:dyDescent="0.35">
      <c r="A22" s="4">
        <v>21</v>
      </c>
      <c r="B22" s="2">
        <v>500</v>
      </c>
      <c r="C22" s="2" t="s">
        <v>3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</row>
    <row r="23" spans="1:8" x14ac:dyDescent="0.35">
      <c r="A23" s="4">
        <v>22</v>
      </c>
      <c r="B23" s="2">
        <v>500</v>
      </c>
      <c r="C23" s="2" t="s">
        <v>3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spans="1:8" x14ac:dyDescent="0.35">
      <c r="A24" s="4">
        <v>23</v>
      </c>
      <c r="B24" s="2">
        <v>500</v>
      </c>
      <c r="C24" s="2" t="s">
        <v>3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spans="1:8" x14ac:dyDescent="0.35">
      <c r="A25" s="4">
        <v>24</v>
      </c>
      <c r="B25" s="2">
        <v>500</v>
      </c>
      <c r="C25" s="2" t="s">
        <v>3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</row>
    <row r="26" spans="1:8" x14ac:dyDescent="0.35">
      <c r="A26" s="4">
        <v>25</v>
      </c>
      <c r="B26" s="2">
        <v>500</v>
      </c>
      <c r="C26" s="2" t="s">
        <v>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</row>
    <row r="27" spans="1:8" x14ac:dyDescent="0.35">
      <c r="A27" s="4">
        <v>26</v>
      </c>
      <c r="B27" s="2">
        <v>500</v>
      </c>
      <c r="C27" s="2" t="s">
        <v>3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spans="1:8" x14ac:dyDescent="0.35">
      <c r="A28" s="5">
        <v>27</v>
      </c>
      <c r="B28" s="6">
        <v>500</v>
      </c>
      <c r="C28" s="6" t="s">
        <v>3</v>
      </c>
      <c r="D28" s="6" t="s">
        <v>9</v>
      </c>
      <c r="E28" s="6" t="s">
        <v>9</v>
      </c>
      <c r="F28" s="6" t="s">
        <v>9</v>
      </c>
      <c r="G28" s="6" t="s">
        <v>9</v>
      </c>
      <c r="H28" s="6" t="s">
        <v>9</v>
      </c>
    </row>
    <row r="29" spans="1:8" x14ac:dyDescent="0.35">
      <c r="A29" s="4">
        <v>28</v>
      </c>
      <c r="B29" s="2">
        <v>250</v>
      </c>
      <c r="C29" s="2" t="s">
        <v>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11</v>
      </c>
    </row>
    <row r="30" spans="1:8" x14ac:dyDescent="0.35">
      <c r="A30" s="4">
        <v>29</v>
      </c>
      <c r="B30" s="2">
        <v>250</v>
      </c>
      <c r="C30" s="2" t="s">
        <v>3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spans="1:8" x14ac:dyDescent="0.35">
      <c r="A31" s="4">
        <v>30</v>
      </c>
      <c r="B31" s="2">
        <v>250</v>
      </c>
      <c r="C31" s="2" t="s">
        <v>3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spans="1:8" x14ac:dyDescent="0.35">
      <c r="A32" s="4">
        <v>31</v>
      </c>
      <c r="B32" s="2">
        <v>250</v>
      </c>
      <c r="C32" s="2" t="s">
        <v>3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12" x14ac:dyDescent="0.35">
      <c r="A33" s="4">
        <v>32</v>
      </c>
      <c r="B33" s="2">
        <v>250</v>
      </c>
      <c r="C33" s="2" t="s">
        <v>3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12" x14ac:dyDescent="0.35">
      <c r="A34" s="4">
        <v>33</v>
      </c>
      <c r="B34" s="2">
        <v>250</v>
      </c>
      <c r="C34" s="2" t="s">
        <v>3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spans="1:12" x14ac:dyDescent="0.35">
      <c r="A35" s="4">
        <v>34</v>
      </c>
      <c r="B35" s="2">
        <v>250</v>
      </c>
      <c r="C35" s="2" t="s">
        <v>3</v>
      </c>
      <c r="D35" s="2" t="s">
        <v>11</v>
      </c>
      <c r="E35" s="2" t="s">
        <v>9</v>
      </c>
      <c r="F35" s="2" t="s">
        <v>9</v>
      </c>
      <c r="G35" s="2" t="s">
        <v>9</v>
      </c>
      <c r="H35" s="2" t="s">
        <v>9</v>
      </c>
    </row>
    <row r="36" spans="1:12" x14ac:dyDescent="0.35">
      <c r="A36" s="4">
        <v>35</v>
      </c>
      <c r="B36" s="2">
        <v>250</v>
      </c>
      <c r="C36" s="2" t="s">
        <v>3</v>
      </c>
      <c r="D36" s="2" t="s">
        <v>11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12" x14ac:dyDescent="0.35">
      <c r="A37" s="4">
        <v>36</v>
      </c>
      <c r="B37" s="2">
        <v>250</v>
      </c>
      <c r="C37" s="2" t="s">
        <v>3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spans="1:12" x14ac:dyDescent="0.35">
      <c r="A38" s="5">
        <v>37</v>
      </c>
      <c r="B38" s="6">
        <v>250</v>
      </c>
      <c r="C38" s="6" t="s">
        <v>3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  <c r="K38" s="2" t="s">
        <v>18</v>
      </c>
      <c r="L38" s="9">
        <f>(COUNTIF(D2:H38,"p"))/((COUNTIF(D2:H38,"p")+(COUNTIF(D2:H38,"n"))))</f>
        <v>0.98378378378378384</v>
      </c>
    </row>
    <row r="39" spans="1:12" x14ac:dyDescent="0.35">
      <c r="A39" s="4">
        <v>38</v>
      </c>
      <c r="B39" s="2">
        <v>125</v>
      </c>
      <c r="C39" s="2" t="s">
        <v>3</v>
      </c>
      <c r="D39" s="2" t="s">
        <v>11</v>
      </c>
      <c r="E39" s="2" t="s">
        <v>9</v>
      </c>
      <c r="F39" s="2" t="s">
        <v>9</v>
      </c>
      <c r="G39" s="2" t="s">
        <v>11</v>
      </c>
      <c r="H39" s="2" t="s">
        <v>11</v>
      </c>
      <c r="K39" s="2" t="s">
        <v>17</v>
      </c>
      <c r="L39" s="9">
        <f>(COUNTIF(D2:H48,"p"))/((COUNTIF(D2:H48,"p"))+(COUNTIF(D2:H48,"n")))</f>
        <v>0.91063829787234041</v>
      </c>
    </row>
    <row r="40" spans="1:12" x14ac:dyDescent="0.35">
      <c r="A40" s="4">
        <v>39</v>
      </c>
      <c r="B40" s="2">
        <v>125</v>
      </c>
      <c r="C40" s="2" t="s">
        <v>3</v>
      </c>
      <c r="D40" s="2" t="s">
        <v>11</v>
      </c>
      <c r="E40" s="2" t="s">
        <v>9</v>
      </c>
      <c r="F40" s="2" t="s">
        <v>11</v>
      </c>
      <c r="G40" s="2" t="s">
        <v>11</v>
      </c>
      <c r="H40" s="2" t="s">
        <v>11</v>
      </c>
    </row>
    <row r="41" spans="1:12" x14ac:dyDescent="0.35">
      <c r="A41" s="4">
        <v>40</v>
      </c>
      <c r="B41" s="2">
        <v>125</v>
      </c>
      <c r="C41" s="2" t="s">
        <v>3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11</v>
      </c>
    </row>
    <row r="42" spans="1:12" x14ac:dyDescent="0.35">
      <c r="A42" s="4">
        <v>41</v>
      </c>
      <c r="B42" s="2">
        <v>125</v>
      </c>
      <c r="C42" s="2" t="s">
        <v>3</v>
      </c>
      <c r="D42" s="2" t="s">
        <v>9</v>
      </c>
      <c r="E42" s="2" t="s">
        <v>9</v>
      </c>
      <c r="F42" s="2" t="s">
        <v>9</v>
      </c>
      <c r="G42" s="2" t="s">
        <v>11</v>
      </c>
      <c r="H42" s="2" t="s">
        <v>11</v>
      </c>
    </row>
    <row r="43" spans="1:12" x14ac:dyDescent="0.35">
      <c r="A43" s="4">
        <v>42</v>
      </c>
      <c r="B43" s="2">
        <v>125</v>
      </c>
      <c r="C43" s="2" t="s">
        <v>3</v>
      </c>
      <c r="D43" s="2" t="s">
        <v>11</v>
      </c>
      <c r="E43" s="2" t="s">
        <v>9</v>
      </c>
      <c r="F43" s="2" t="s">
        <v>9</v>
      </c>
      <c r="G43" s="2" t="s">
        <v>9</v>
      </c>
      <c r="H43" s="2" t="s">
        <v>11</v>
      </c>
    </row>
    <row r="44" spans="1:12" x14ac:dyDescent="0.35">
      <c r="A44" s="4">
        <v>43</v>
      </c>
      <c r="B44" s="2">
        <v>125</v>
      </c>
      <c r="C44" s="2" t="s">
        <v>3</v>
      </c>
      <c r="D44" s="2" t="s">
        <v>9</v>
      </c>
      <c r="E44" s="2" t="s">
        <v>9</v>
      </c>
      <c r="F44" s="2" t="s">
        <v>11</v>
      </c>
      <c r="G44" s="2" t="s">
        <v>9</v>
      </c>
      <c r="H44" s="2" t="s">
        <v>11</v>
      </c>
    </row>
    <row r="45" spans="1:12" x14ac:dyDescent="0.35">
      <c r="A45" s="4">
        <v>44</v>
      </c>
      <c r="B45" s="2">
        <v>125</v>
      </c>
      <c r="C45" s="2" t="s">
        <v>3</v>
      </c>
      <c r="D45" s="2" t="s">
        <v>9</v>
      </c>
      <c r="E45" s="2" t="s">
        <v>11</v>
      </c>
      <c r="F45" s="2" t="s">
        <v>11</v>
      </c>
      <c r="G45" s="2" t="s">
        <v>9</v>
      </c>
      <c r="H45" s="2" t="s">
        <v>9</v>
      </c>
    </row>
    <row r="46" spans="1:12" x14ac:dyDescent="0.35">
      <c r="A46" s="4">
        <v>45</v>
      </c>
      <c r="B46" s="2">
        <v>125</v>
      </c>
      <c r="C46" s="2" t="s">
        <v>3</v>
      </c>
      <c r="D46" s="2" t="s">
        <v>9</v>
      </c>
      <c r="E46" s="2" t="s">
        <v>9</v>
      </c>
      <c r="F46" s="2" t="s">
        <v>9</v>
      </c>
      <c r="G46" s="2" t="s">
        <v>11</v>
      </c>
      <c r="H46" s="2" t="s">
        <v>9</v>
      </c>
      <c r="K46" s="2" t="s">
        <v>20</v>
      </c>
      <c r="L46" s="9">
        <f>(COUNTIF(D2:H38,"p"))/((COUNTIF(D2:H38,"p"))+(3))</f>
        <v>0.98378378378378384</v>
      </c>
    </row>
    <row r="47" spans="1:12" x14ac:dyDescent="0.35">
      <c r="A47" s="4">
        <v>46</v>
      </c>
      <c r="B47" s="2">
        <v>125</v>
      </c>
      <c r="C47" s="2" t="s">
        <v>3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  <c r="K47" s="2" t="s">
        <v>21</v>
      </c>
      <c r="L47" s="9">
        <f>(COUNTIF(D2:H48,"p"))/((COUNTIF(D2:H48,"p"))+3)</f>
        <v>0.98617511520737322</v>
      </c>
    </row>
    <row r="48" spans="1:12" x14ac:dyDescent="0.35">
      <c r="A48" s="5">
        <v>47</v>
      </c>
      <c r="B48" s="6">
        <v>125</v>
      </c>
      <c r="C48" s="6" t="s">
        <v>3</v>
      </c>
      <c r="D48" s="6" t="s">
        <v>9</v>
      </c>
      <c r="E48" s="6" t="s">
        <v>9</v>
      </c>
      <c r="F48" s="6" t="s">
        <v>11</v>
      </c>
      <c r="G48" s="6" t="s">
        <v>9</v>
      </c>
      <c r="H48" s="6" t="s">
        <v>9</v>
      </c>
    </row>
    <row r="49" spans="1:8" x14ac:dyDescent="0.35">
      <c r="A49" s="4">
        <v>48</v>
      </c>
      <c r="B49" s="2">
        <v>63</v>
      </c>
      <c r="C49" s="2" t="s">
        <v>3</v>
      </c>
      <c r="D49" s="10"/>
      <c r="E49" s="10"/>
      <c r="F49" s="10"/>
      <c r="G49" s="10"/>
      <c r="H49" s="10"/>
    </row>
    <row r="50" spans="1:8" x14ac:dyDescent="0.35">
      <c r="A50" s="4">
        <v>49</v>
      </c>
      <c r="B50" s="2">
        <v>63</v>
      </c>
      <c r="C50" s="2" t="s">
        <v>3</v>
      </c>
      <c r="D50" s="2"/>
      <c r="E50" s="2"/>
      <c r="F50" s="2"/>
      <c r="G50" s="2"/>
      <c r="H50" s="2"/>
    </row>
    <row r="51" spans="1:8" x14ac:dyDescent="0.35">
      <c r="A51" s="4">
        <v>50</v>
      </c>
      <c r="B51" s="2">
        <v>63</v>
      </c>
      <c r="C51" s="2" t="s">
        <v>3</v>
      </c>
      <c r="D51" s="2"/>
      <c r="E51" s="2"/>
      <c r="F51" s="2"/>
      <c r="G51" s="2"/>
      <c r="H51" s="2"/>
    </row>
    <row r="52" spans="1:8" x14ac:dyDescent="0.35">
      <c r="A52" s="4">
        <v>51</v>
      </c>
      <c r="B52" s="2">
        <v>63</v>
      </c>
      <c r="C52" s="2" t="s">
        <v>3</v>
      </c>
      <c r="D52" s="2"/>
      <c r="E52" s="2"/>
      <c r="F52" s="2"/>
      <c r="G52" s="2"/>
      <c r="H52" s="2"/>
    </row>
    <row r="53" spans="1:8" x14ac:dyDescent="0.35">
      <c r="A53" s="4">
        <v>52</v>
      </c>
      <c r="B53" s="2">
        <v>63</v>
      </c>
      <c r="C53" s="2" t="s">
        <v>3</v>
      </c>
      <c r="D53" s="2"/>
      <c r="E53" s="2"/>
      <c r="F53" s="2"/>
      <c r="G53" s="2"/>
      <c r="H53" s="2"/>
    </row>
    <row r="54" spans="1:8" x14ac:dyDescent="0.35">
      <c r="A54" s="4">
        <v>53</v>
      </c>
      <c r="B54" s="2">
        <v>63</v>
      </c>
      <c r="C54" s="2" t="s">
        <v>3</v>
      </c>
      <c r="D54" s="2"/>
      <c r="E54" s="2"/>
      <c r="F54" s="2"/>
      <c r="G54" s="2"/>
      <c r="H54" s="2"/>
    </row>
    <row r="55" spans="1:8" x14ac:dyDescent="0.35">
      <c r="A55" s="4">
        <v>54</v>
      </c>
      <c r="B55" s="2">
        <v>63</v>
      </c>
      <c r="C55" s="2" t="s">
        <v>3</v>
      </c>
      <c r="D55" s="2"/>
      <c r="E55" s="2"/>
      <c r="F55" s="2"/>
      <c r="G55" s="2"/>
      <c r="H55" s="2"/>
    </row>
    <row r="56" spans="1:8" x14ac:dyDescent="0.35">
      <c r="A56" s="4">
        <v>55</v>
      </c>
      <c r="B56" s="2">
        <v>63</v>
      </c>
      <c r="C56" s="2" t="s">
        <v>3</v>
      </c>
      <c r="D56" s="2"/>
      <c r="E56" s="2"/>
      <c r="F56" s="2"/>
      <c r="G56" s="2"/>
      <c r="H56" s="2"/>
    </row>
    <row r="57" spans="1:8" x14ac:dyDescent="0.35">
      <c r="A57" s="4">
        <v>56</v>
      </c>
      <c r="B57" s="2">
        <v>63</v>
      </c>
      <c r="C57" s="2" t="s">
        <v>3</v>
      </c>
      <c r="D57" s="2"/>
      <c r="E57" s="2"/>
      <c r="F57" s="2"/>
      <c r="G57" s="2"/>
      <c r="H57" s="2"/>
    </row>
    <row r="58" spans="1:8" x14ac:dyDescent="0.35">
      <c r="A58" s="5">
        <v>57</v>
      </c>
      <c r="B58" s="6">
        <v>63</v>
      </c>
      <c r="C58" s="6" t="s">
        <v>3</v>
      </c>
      <c r="D58" s="6"/>
      <c r="E58" s="6"/>
      <c r="F58" s="6"/>
      <c r="G58" s="6"/>
      <c r="H58" s="6"/>
    </row>
    <row r="59" spans="1:8" x14ac:dyDescent="0.35">
      <c r="A59" s="4">
        <v>58</v>
      </c>
      <c r="B59" s="2">
        <v>31</v>
      </c>
      <c r="C59" s="2" t="s">
        <v>3</v>
      </c>
      <c r="D59" s="2"/>
      <c r="E59" s="2"/>
      <c r="F59" s="2"/>
      <c r="G59" s="2"/>
      <c r="H59" s="2"/>
    </row>
    <row r="60" spans="1:8" x14ac:dyDescent="0.35">
      <c r="A60" s="4">
        <v>59</v>
      </c>
      <c r="B60" s="2">
        <v>31</v>
      </c>
      <c r="C60" s="2" t="s">
        <v>3</v>
      </c>
      <c r="D60" s="2"/>
      <c r="E60" s="2"/>
      <c r="F60" s="2"/>
      <c r="G60" s="2"/>
      <c r="H60" s="2"/>
    </row>
    <row r="61" spans="1:8" x14ac:dyDescent="0.35">
      <c r="A61" s="4">
        <v>60</v>
      </c>
      <c r="B61" s="2">
        <v>31</v>
      </c>
      <c r="C61" s="2" t="s">
        <v>3</v>
      </c>
      <c r="D61" s="2"/>
      <c r="E61" s="2"/>
      <c r="F61" s="2"/>
      <c r="G61" s="2"/>
      <c r="H61" s="2"/>
    </row>
    <row r="62" spans="1:8" x14ac:dyDescent="0.35">
      <c r="A62" s="4">
        <v>61</v>
      </c>
      <c r="B62" s="2">
        <v>31</v>
      </c>
      <c r="C62" s="2" t="s">
        <v>3</v>
      </c>
      <c r="D62" s="2"/>
      <c r="E62" s="2"/>
      <c r="F62" s="2"/>
      <c r="G62" s="2"/>
      <c r="H62" s="2"/>
    </row>
    <row r="63" spans="1:8" x14ac:dyDescent="0.35">
      <c r="A63" s="4">
        <v>62</v>
      </c>
      <c r="B63" s="2">
        <v>31</v>
      </c>
      <c r="C63" s="2" t="s">
        <v>3</v>
      </c>
      <c r="D63" s="2"/>
      <c r="E63" s="2"/>
      <c r="F63" s="2"/>
      <c r="G63" s="2"/>
      <c r="H63" s="2"/>
    </row>
    <row r="64" spans="1:8" x14ac:dyDescent="0.35">
      <c r="A64" s="4">
        <v>63</v>
      </c>
      <c r="B64" s="2">
        <v>31</v>
      </c>
      <c r="C64" s="2" t="s">
        <v>3</v>
      </c>
      <c r="D64" s="2"/>
      <c r="E64" s="2"/>
      <c r="F64" s="2"/>
      <c r="G64" s="2"/>
      <c r="H64" s="2"/>
    </row>
    <row r="65" spans="1:8" x14ac:dyDescent="0.35">
      <c r="A65" s="4">
        <v>64</v>
      </c>
      <c r="B65" s="2">
        <v>31</v>
      </c>
      <c r="C65" s="2" t="s">
        <v>3</v>
      </c>
      <c r="D65" s="2"/>
      <c r="E65" s="2"/>
      <c r="F65" s="2"/>
      <c r="G65" s="2"/>
      <c r="H65" s="2"/>
    </row>
    <row r="66" spans="1:8" x14ac:dyDescent="0.35">
      <c r="A66" s="4">
        <v>65</v>
      </c>
      <c r="B66" s="2">
        <v>31</v>
      </c>
      <c r="C66" s="2" t="s">
        <v>3</v>
      </c>
      <c r="D66" s="2"/>
      <c r="E66" s="2"/>
      <c r="F66" s="2"/>
      <c r="G66" s="2"/>
      <c r="H66" s="2"/>
    </row>
    <row r="67" spans="1:8" x14ac:dyDescent="0.35">
      <c r="A67" s="4">
        <v>66</v>
      </c>
      <c r="B67" s="2">
        <v>31</v>
      </c>
      <c r="C67" s="2" t="s">
        <v>3</v>
      </c>
      <c r="D67" s="2"/>
      <c r="E67" s="2"/>
      <c r="F67" s="2"/>
      <c r="G67" s="2"/>
      <c r="H67" s="2"/>
    </row>
    <row r="68" spans="1:8" x14ac:dyDescent="0.35">
      <c r="A68" s="5">
        <v>67</v>
      </c>
      <c r="B68" s="6">
        <v>31</v>
      </c>
      <c r="C68" s="6" t="s">
        <v>3</v>
      </c>
      <c r="D68" s="6"/>
      <c r="E68" s="6"/>
      <c r="F68" s="6"/>
      <c r="G68" s="6"/>
      <c r="H68" s="6"/>
    </row>
    <row r="69" spans="1:8" x14ac:dyDescent="0.35">
      <c r="A69" s="4">
        <v>68</v>
      </c>
      <c r="B69" s="2">
        <v>16</v>
      </c>
      <c r="C69" s="2" t="s">
        <v>3</v>
      </c>
      <c r="D69" s="2"/>
      <c r="E69" s="2"/>
      <c r="F69" s="2"/>
      <c r="G69" s="2"/>
      <c r="H69" s="2"/>
    </row>
    <row r="70" spans="1:8" x14ac:dyDescent="0.35">
      <c r="A70" s="4">
        <v>69</v>
      </c>
      <c r="B70" s="2">
        <v>16</v>
      </c>
      <c r="C70" s="2" t="s">
        <v>3</v>
      </c>
      <c r="D70" s="2"/>
      <c r="E70" s="2"/>
      <c r="F70" s="2"/>
      <c r="G70" s="2"/>
      <c r="H70" s="2"/>
    </row>
    <row r="71" spans="1:8" x14ac:dyDescent="0.35">
      <c r="A71" s="4">
        <v>70</v>
      </c>
      <c r="B71" s="2">
        <v>16</v>
      </c>
      <c r="C71" s="2" t="s">
        <v>3</v>
      </c>
      <c r="D71" s="2"/>
      <c r="E71" s="2"/>
      <c r="F71" s="2"/>
      <c r="G71" s="2"/>
      <c r="H71" s="2"/>
    </row>
    <row r="72" spans="1:8" x14ac:dyDescent="0.35">
      <c r="A72" s="4">
        <v>71</v>
      </c>
      <c r="B72" s="2">
        <v>16</v>
      </c>
      <c r="C72" s="2" t="s">
        <v>3</v>
      </c>
      <c r="D72" s="2"/>
      <c r="E72" s="2"/>
      <c r="F72" s="2"/>
      <c r="G72" s="2"/>
      <c r="H72" s="2"/>
    </row>
    <row r="73" spans="1:8" x14ac:dyDescent="0.35">
      <c r="A73" s="4">
        <v>72</v>
      </c>
      <c r="B73" s="2">
        <v>16</v>
      </c>
      <c r="C73" s="2" t="s">
        <v>3</v>
      </c>
      <c r="D73" s="2"/>
      <c r="E73" s="2"/>
      <c r="F73" s="2"/>
      <c r="G73" s="2"/>
      <c r="H73" s="2"/>
    </row>
    <row r="74" spans="1:8" x14ac:dyDescent="0.35">
      <c r="A74" s="4">
        <v>73</v>
      </c>
      <c r="B74" s="2">
        <v>16</v>
      </c>
      <c r="C74" s="2" t="s">
        <v>3</v>
      </c>
      <c r="D74" s="2"/>
      <c r="E74" s="2"/>
      <c r="F74" s="2"/>
      <c r="G74" s="2"/>
      <c r="H74" s="2"/>
    </row>
    <row r="75" spans="1:8" x14ac:dyDescent="0.35">
      <c r="A75" s="4">
        <v>74</v>
      </c>
      <c r="B75" s="2">
        <v>16</v>
      </c>
      <c r="C75" s="2" t="s">
        <v>3</v>
      </c>
      <c r="D75" s="2"/>
      <c r="E75" s="2"/>
      <c r="F75" s="2"/>
      <c r="G75" s="2"/>
      <c r="H75" s="2"/>
    </row>
    <row r="76" spans="1:8" x14ac:dyDescent="0.35">
      <c r="A76" s="4">
        <v>75</v>
      </c>
      <c r="B76" s="2">
        <v>16</v>
      </c>
      <c r="C76" s="2" t="s">
        <v>3</v>
      </c>
      <c r="D76" s="2"/>
      <c r="E76" s="2"/>
      <c r="F76" s="2"/>
      <c r="G76" s="2"/>
      <c r="H76" s="2"/>
    </row>
    <row r="77" spans="1:8" x14ac:dyDescent="0.35">
      <c r="A77" s="4">
        <v>76</v>
      </c>
      <c r="B77" s="2">
        <v>16</v>
      </c>
      <c r="C77" s="2" t="s">
        <v>3</v>
      </c>
      <c r="D77" s="2"/>
      <c r="E77" s="2"/>
      <c r="F77" s="2"/>
      <c r="G77" s="2"/>
      <c r="H77" s="2"/>
    </row>
    <row r="78" spans="1:8" x14ac:dyDescent="0.35">
      <c r="A78" s="4">
        <v>77</v>
      </c>
      <c r="B78" s="2">
        <v>16</v>
      </c>
      <c r="C78" s="2" t="s">
        <v>3</v>
      </c>
      <c r="D78" s="2"/>
      <c r="E78" s="2"/>
      <c r="F78" s="2"/>
      <c r="G78" s="2"/>
      <c r="H78" s="2"/>
    </row>
  </sheetData>
  <mergeCells count="1">
    <mergeCell ref="D49:H49"/>
  </mergeCells>
  <conditionalFormatting sqref="C2:C78">
    <cfRule type="cellIs" dxfId="35" priority="1" operator="equal">
      <formula>"N"</formula>
    </cfRule>
    <cfRule type="cellIs" dxfId="34" priority="2" operator="equal">
      <formula>"P"</formula>
    </cfRule>
  </conditionalFormatting>
  <conditionalFormatting sqref="D1:H48 K38:K39 K46:K47 D49 D50:H78">
    <cfRule type="cellIs" dxfId="33" priority="3" operator="equal">
      <formula>"N"</formula>
    </cfRule>
    <cfRule type="cellIs" dxfId="32" priority="4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zoomScale="55" zoomScaleNormal="55" workbookViewId="0">
      <selection activeCell="O43" sqref="O43"/>
    </sheetView>
  </sheetViews>
  <sheetFormatPr defaultColWidth="8.81640625"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1.54296875" bestFit="1" customWidth="1"/>
    <col min="11" max="11" width="12" bestFit="1" customWidth="1"/>
  </cols>
  <sheetData>
    <row r="1" spans="1:12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K1" s="7" t="s">
        <v>14</v>
      </c>
      <c r="L1">
        <f>(COUNTIF(D2:H49,"n"))/(48*5)</f>
        <v>0.98750000000000004</v>
      </c>
    </row>
    <row r="2" spans="1:12" x14ac:dyDescent="0.35">
      <c r="A2" s="4">
        <v>1</v>
      </c>
      <c r="B2" s="2">
        <v>0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12" x14ac:dyDescent="0.35">
      <c r="A3" s="4">
        <v>2</v>
      </c>
      <c r="B3" s="2">
        <v>0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K3" s="2" t="s">
        <v>15</v>
      </c>
      <c r="L3">
        <f>(COUNTIF(D2:H49,"p"))/(48*5)</f>
        <v>1.2500000000000001E-2</v>
      </c>
    </row>
    <row r="4" spans="1:12" x14ac:dyDescent="0.35">
      <c r="A4" s="4">
        <v>3</v>
      </c>
      <c r="B4" s="2">
        <v>0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12" x14ac:dyDescent="0.35">
      <c r="A5" s="4">
        <v>4</v>
      </c>
      <c r="B5" s="2">
        <v>0</v>
      </c>
      <c r="C5" s="2" t="s">
        <v>10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12" x14ac:dyDescent="0.35">
      <c r="A6" s="4">
        <v>5</v>
      </c>
      <c r="B6" s="2">
        <v>0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12" x14ac:dyDescent="0.35">
      <c r="A7" s="4">
        <v>6</v>
      </c>
      <c r="B7" s="2">
        <v>0</v>
      </c>
      <c r="C7" s="2" t="s">
        <v>10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</row>
    <row r="8" spans="1:12" x14ac:dyDescent="0.35">
      <c r="A8" s="4">
        <v>7</v>
      </c>
      <c r="B8" s="2">
        <v>0</v>
      </c>
      <c r="C8" s="2" t="s">
        <v>10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12" x14ac:dyDescent="0.35">
      <c r="A9" s="4">
        <v>8</v>
      </c>
      <c r="B9" s="2">
        <v>0</v>
      </c>
      <c r="C9" s="2" t="s">
        <v>10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12" x14ac:dyDescent="0.35">
      <c r="A10" s="4">
        <v>9</v>
      </c>
      <c r="B10" s="2">
        <v>0</v>
      </c>
      <c r="C10" s="2" t="s">
        <v>10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</row>
    <row r="11" spans="1:12" x14ac:dyDescent="0.35">
      <c r="A11" s="4">
        <v>10</v>
      </c>
      <c r="B11" s="2">
        <v>0</v>
      </c>
      <c r="C11" s="2" t="s">
        <v>10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12" x14ac:dyDescent="0.35">
      <c r="A12" s="4">
        <v>11</v>
      </c>
      <c r="B12" s="2">
        <v>0</v>
      </c>
      <c r="C12" s="2" t="s">
        <v>10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12" x14ac:dyDescent="0.35">
      <c r="A13" s="4">
        <v>12</v>
      </c>
      <c r="B13" s="2">
        <v>0</v>
      </c>
      <c r="C13" s="2" t="s">
        <v>10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12" x14ac:dyDescent="0.35">
      <c r="A14" s="4">
        <v>13</v>
      </c>
      <c r="B14" s="2">
        <v>0</v>
      </c>
      <c r="C14" s="2" t="s">
        <v>10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12" x14ac:dyDescent="0.35">
      <c r="A15" s="4">
        <v>14</v>
      </c>
      <c r="B15" s="2">
        <v>0</v>
      </c>
      <c r="C15" s="2" t="s">
        <v>10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</row>
    <row r="16" spans="1:12" x14ac:dyDescent="0.35">
      <c r="A16" s="4">
        <v>15</v>
      </c>
      <c r="B16" s="2">
        <v>0</v>
      </c>
      <c r="C16" s="2" t="s">
        <v>10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11</v>
      </c>
    </row>
    <row r="17" spans="1:8" x14ac:dyDescent="0.35">
      <c r="A17" s="4">
        <v>16</v>
      </c>
      <c r="B17" s="2">
        <v>0</v>
      </c>
      <c r="C17" s="2" t="s">
        <v>10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11</v>
      </c>
    </row>
    <row r="18" spans="1:8" x14ac:dyDescent="0.35">
      <c r="A18" s="4">
        <v>17</v>
      </c>
      <c r="B18" s="2">
        <v>0</v>
      </c>
      <c r="C18" s="2" t="s">
        <v>10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</row>
    <row r="19" spans="1:8" x14ac:dyDescent="0.35">
      <c r="A19" s="4">
        <v>18</v>
      </c>
      <c r="B19" s="2">
        <v>0</v>
      </c>
      <c r="C19" s="2" t="s">
        <v>10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</row>
    <row r="20" spans="1:8" x14ac:dyDescent="0.35">
      <c r="A20" s="4">
        <v>19</v>
      </c>
      <c r="B20" s="2">
        <v>0</v>
      </c>
      <c r="C20" s="2" t="s">
        <v>10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</row>
    <row r="21" spans="1:8" x14ac:dyDescent="0.35">
      <c r="A21" s="4">
        <v>20</v>
      </c>
      <c r="B21" s="2">
        <v>0</v>
      </c>
      <c r="C21" s="2" t="s">
        <v>10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11</v>
      </c>
    </row>
    <row r="22" spans="1:8" x14ac:dyDescent="0.35">
      <c r="A22" s="4">
        <v>21</v>
      </c>
      <c r="B22" s="2">
        <v>0</v>
      </c>
      <c r="C22" s="2" t="s">
        <v>10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11</v>
      </c>
    </row>
    <row r="23" spans="1:8" x14ac:dyDescent="0.35">
      <c r="A23" s="4">
        <v>22</v>
      </c>
      <c r="B23" s="2">
        <v>0</v>
      </c>
      <c r="C23" s="2" t="s">
        <v>10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8" x14ac:dyDescent="0.35">
      <c r="A24" s="4">
        <v>23</v>
      </c>
      <c r="B24" s="2">
        <v>0</v>
      </c>
      <c r="C24" s="2" t="s">
        <v>10</v>
      </c>
      <c r="D24" s="2" t="s">
        <v>11</v>
      </c>
      <c r="E24" s="2" t="s">
        <v>9</v>
      </c>
      <c r="F24" s="2" t="s">
        <v>11</v>
      </c>
      <c r="G24" s="2" t="s">
        <v>11</v>
      </c>
      <c r="H24" s="2" t="s">
        <v>11</v>
      </c>
    </row>
    <row r="25" spans="1:8" x14ac:dyDescent="0.35">
      <c r="A25" s="4">
        <v>24</v>
      </c>
      <c r="B25" s="2">
        <v>0</v>
      </c>
      <c r="C25" s="2" t="s">
        <v>10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8" x14ac:dyDescent="0.35">
      <c r="A26" s="4">
        <v>25</v>
      </c>
      <c r="B26" s="2">
        <v>0</v>
      </c>
      <c r="C26" s="2" t="s">
        <v>10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</row>
    <row r="27" spans="1:8" x14ac:dyDescent="0.35">
      <c r="A27" s="4">
        <v>26</v>
      </c>
      <c r="B27" s="2">
        <v>0</v>
      </c>
      <c r="C27" s="2" t="s">
        <v>10</v>
      </c>
      <c r="D27" s="2" t="s">
        <v>11</v>
      </c>
      <c r="E27" s="2" t="s">
        <v>11</v>
      </c>
      <c r="F27" s="2" t="s">
        <v>11</v>
      </c>
      <c r="G27" s="2" t="s">
        <v>11</v>
      </c>
      <c r="H27" s="2" t="s">
        <v>11</v>
      </c>
    </row>
    <row r="28" spans="1:8" x14ac:dyDescent="0.35">
      <c r="A28" s="4">
        <v>27</v>
      </c>
      <c r="B28" s="2">
        <v>0</v>
      </c>
      <c r="C28" s="2" t="s">
        <v>10</v>
      </c>
      <c r="D28" s="2" t="s">
        <v>11</v>
      </c>
      <c r="E28" s="2" t="s">
        <v>11</v>
      </c>
      <c r="F28" s="2" t="s">
        <v>11</v>
      </c>
      <c r="G28" s="2" t="s">
        <v>11</v>
      </c>
      <c r="H28" s="2" t="s">
        <v>11</v>
      </c>
    </row>
    <row r="29" spans="1:8" x14ac:dyDescent="0.35">
      <c r="A29" s="4">
        <v>28</v>
      </c>
      <c r="B29" s="2">
        <v>0</v>
      </c>
      <c r="C29" s="2" t="s">
        <v>10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8" x14ac:dyDescent="0.35">
      <c r="A30" s="4">
        <v>29</v>
      </c>
      <c r="B30" s="2">
        <v>0</v>
      </c>
      <c r="C30" s="2" t="s">
        <v>10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</row>
    <row r="31" spans="1:8" x14ac:dyDescent="0.35">
      <c r="A31" s="4">
        <v>30</v>
      </c>
      <c r="B31" s="2">
        <v>0</v>
      </c>
      <c r="C31" s="2" t="s">
        <v>10</v>
      </c>
      <c r="D31" s="2" t="s">
        <v>11</v>
      </c>
      <c r="E31" s="2" t="s">
        <v>11</v>
      </c>
      <c r="F31" s="2" t="s">
        <v>11</v>
      </c>
      <c r="G31" s="2" t="s">
        <v>11</v>
      </c>
      <c r="H31" s="2" t="s">
        <v>11</v>
      </c>
    </row>
    <row r="32" spans="1:8" x14ac:dyDescent="0.35">
      <c r="A32" s="4">
        <v>31</v>
      </c>
      <c r="B32" s="2">
        <v>0</v>
      </c>
      <c r="C32" s="2" t="s">
        <v>10</v>
      </c>
      <c r="D32" s="2" t="s">
        <v>11</v>
      </c>
      <c r="E32" s="2" t="s">
        <v>11</v>
      </c>
      <c r="F32" s="2" t="s">
        <v>11</v>
      </c>
      <c r="G32" s="2" t="s">
        <v>11</v>
      </c>
      <c r="H32" s="2" t="s">
        <v>9</v>
      </c>
    </row>
    <row r="33" spans="1:8" x14ac:dyDescent="0.35">
      <c r="A33" s="4">
        <v>32</v>
      </c>
      <c r="B33" s="2">
        <v>0</v>
      </c>
      <c r="C33" s="2" t="s">
        <v>10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</row>
    <row r="34" spans="1:8" x14ac:dyDescent="0.35">
      <c r="A34" s="4">
        <v>33</v>
      </c>
      <c r="B34" s="2">
        <v>0</v>
      </c>
      <c r="C34" s="2" t="s">
        <v>10</v>
      </c>
      <c r="D34" s="2" t="s">
        <v>11</v>
      </c>
      <c r="E34" s="2" t="s">
        <v>11</v>
      </c>
      <c r="F34" s="2" t="s">
        <v>11</v>
      </c>
      <c r="G34" s="2" t="s">
        <v>11</v>
      </c>
      <c r="H34" s="2" t="s">
        <v>9</v>
      </c>
    </row>
    <row r="35" spans="1:8" x14ac:dyDescent="0.35">
      <c r="A35" s="4">
        <v>34</v>
      </c>
      <c r="B35" s="2">
        <v>0</v>
      </c>
      <c r="C35" s="2" t="s">
        <v>10</v>
      </c>
      <c r="D35" s="2" t="s">
        <v>11</v>
      </c>
      <c r="E35" s="2" t="s">
        <v>11</v>
      </c>
      <c r="F35" s="2" t="s">
        <v>11</v>
      </c>
      <c r="G35" s="2" t="s">
        <v>11</v>
      </c>
      <c r="H35" s="2" t="s">
        <v>11</v>
      </c>
    </row>
    <row r="36" spans="1:8" x14ac:dyDescent="0.35">
      <c r="A36" s="4">
        <v>35</v>
      </c>
      <c r="B36" s="2">
        <v>0</v>
      </c>
      <c r="C36" s="2" t="s">
        <v>10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11</v>
      </c>
    </row>
    <row r="37" spans="1:8" x14ac:dyDescent="0.35">
      <c r="A37" s="4">
        <v>36</v>
      </c>
      <c r="B37" s="2">
        <v>0</v>
      </c>
      <c r="C37" s="2" t="s">
        <v>10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 x14ac:dyDescent="0.35">
      <c r="A38" s="4">
        <v>37</v>
      </c>
      <c r="B38" s="2">
        <v>0</v>
      </c>
      <c r="C38" s="2" t="s">
        <v>10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</row>
    <row r="39" spans="1:8" x14ac:dyDescent="0.35">
      <c r="A39" s="4">
        <v>38</v>
      </c>
      <c r="B39" s="2">
        <v>0</v>
      </c>
      <c r="C39" s="2" t="s">
        <v>10</v>
      </c>
      <c r="D39" s="2" t="s">
        <v>11</v>
      </c>
      <c r="E39" s="2" t="s">
        <v>11</v>
      </c>
      <c r="F39" s="2" t="s">
        <v>11</v>
      </c>
      <c r="G39" s="2" t="s">
        <v>11</v>
      </c>
      <c r="H39" s="2" t="s">
        <v>11</v>
      </c>
    </row>
    <row r="40" spans="1:8" x14ac:dyDescent="0.35">
      <c r="A40" s="4">
        <v>39</v>
      </c>
      <c r="B40" s="2">
        <v>0</v>
      </c>
      <c r="C40" s="2" t="s">
        <v>10</v>
      </c>
      <c r="D40" s="2" t="s">
        <v>11</v>
      </c>
      <c r="E40" s="2" t="s">
        <v>11</v>
      </c>
      <c r="F40" s="2" t="s">
        <v>11</v>
      </c>
      <c r="G40" s="2" t="s">
        <v>11</v>
      </c>
      <c r="H40" s="2" t="s">
        <v>11</v>
      </c>
    </row>
    <row r="41" spans="1:8" x14ac:dyDescent="0.35">
      <c r="A41" s="4">
        <v>40</v>
      </c>
      <c r="B41" s="2">
        <v>0</v>
      </c>
      <c r="C41" s="2" t="s">
        <v>10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</row>
    <row r="42" spans="1:8" x14ac:dyDescent="0.35">
      <c r="A42" s="4">
        <v>41</v>
      </c>
      <c r="B42" s="2">
        <v>0</v>
      </c>
      <c r="C42" s="2" t="s">
        <v>10</v>
      </c>
      <c r="D42" s="2" t="s">
        <v>11</v>
      </c>
      <c r="E42" s="2" t="s">
        <v>11</v>
      </c>
      <c r="F42" s="2" t="s">
        <v>11</v>
      </c>
      <c r="G42" s="2" t="s">
        <v>11</v>
      </c>
      <c r="H42" s="2" t="s">
        <v>11</v>
      </c>
    </row>
    <row r="43" spans="1:8" x14ac:dyDescent="0.35">
      <c r="A43" s="4">
        <v>42</v>
      </c>
      <c r="B43" s="2">
        <v>0</v>
      </c>
      <c r="C43" s="2" t="s">
        <v>10</v>
      </c>
      <c r="D43" s="2" t="s">
        <v>11</v>
      </c>
      <c r="E43" s="2" t="s">
        <v>11</v>
      </c>
      <c r="F43" s="2" t="s">
        <v>11</v>
      </c>
      <c r="G43" s="2" t="s">
        <v>11</v>
      </c>
      <c r="H43" s="2" t="s">
        <v>11</v>
      </c>
    </row>
    <row r="44" spans="1:8" x14ac:dyDescent="0.35">
      <c r="A44" s="4">
        <v>43</v>
      </c>
      <c r="B44" s="2">
        <v>0</v>
      </c>
      <c r="C44" s="2" t="s">
        <v>10</v>
      </c>
      <c r="D44" s="2" t="s">
        <v>11</v>
      </c>
      <c r="E44" s="2" t="s">
        <v>11</v>
      </c>
      <c r="F44" s="2" t="s">
        <v>11</v>
      </c>
      <c r="G44" s="2" t="s">
        <v>11</v>
      </c>
      <c r="H44" s="2" t="s">
        <v>11</v>
      </c>
    </row>
    <row r="45" spans="1:8" x14ac:dyDescent="0.35">
      <c r="A45" s="4">
        <v>44</v>
      </c>
      <c r="B45" s="2">
        <v>0</v>
      </c>
      <c r="C45" s="2" t="s">
        <v>10</v>
      </c>
      <c r="D45" s="2" t="s">
        <v>11</v>
      </c>
      <c r="E45" s="2" t="s">
        <v>11</v>
      </c>
      <c r="F45" s="2" t="s">
        <v>11</v>
      </c>
      <c r="G45" s="2" t="s">
        <v>11</v>
      </c>
      <c r="H45" s="2" t="s">
        <v>11</v>
      </c>
    </row>
    <row r="46" spans="1:8" x14ac:dyDescent="0.35">
      <c r="A46" s="4">
        <v>45</v>
      </c>
      <c r="B46" s="2">
        <v>0</v>
      </c>
      <c r="C46" s="2" t="s">
        <v>10</v>
      </c>
      <c r="D46" s="2" t="s">
        <v>11</v>
      </c>
      <c r="E46" s="2" t="s">
        <v>11</v>
      </c>
      <c r="F46" s="2" t="s">
        <v>11</v>
      </c>
      <c r="G46" s="2" t="s">
        <v>11</v>
      </c>
      <c r="H46" s="2" t="s">
        <v>11</v>
      </c>
    </row>
    <row r="47" spans="1:8" x14ac:dyDescent="0.35">
      <c r="A47" s="4">
        <v>46</v>
      </c>
      <c r="B47" s="2">
        <v>0</v>
      </c>
      <c r="C47" s="2" t="s">
        <v>10</v>
      </c>
      <c r="D47" s="2" t="s">
        <v>11</v>
      </c>
      <c r="E47" s="2" t="s">
        <v>11</v>
      </c>
      <c r="F47" s="2" t="s">
        <v>11</v>
      </c>
      <c r="G47" s="2" t="s">
        <v>11</v>
      </c>
      <c r="H47" s="2" t="s">
        <v>11</v>
      </c>
    </row>
    <row r="48" spans="1:8" x14ac:dyDescent="0.35">
      <c r="A48" s="4">
        <v>47</v>
      </c>
      <c r="B48" s="2">
        <v>0</v>
      </c>
      <c r="C48" s="2" t="s">
        <v>10</v>
      </c>
      <c r="D48" s="2" t="s">
        <v>11</v>
      </c>
      <c r="E48" s="2" t="s">
        <v>11</v>
      </c>
      <c r="F48" s="2" t="s">
        <v>11</v>
      </c>
      <c r="G48" s="2" t="s">
        <v>11</v>
      </c>
      <c r="H48" s="2" t="s">
        <v>11</v>
      </c>
    </row>
    <row r="49" spans="1:8" x14ac:dyDescent="0.35">
      <c r="A49" s="4">
        <v>48</v>
      </c>
      <c r="B49" s="2">
        <v>0</v>
      </c>
      <c r="C49" s="2" t="s">
        <v>10</v>
      </c>
      <c r="D49" s="2" t="s">
        <v>11</v>
      </c>
      <c r="E49" s="2" t="s">
        <v>11</v>
      </c>
      <c r="F49" s="2" t="s">
        <v>11</v>
      </c>
      <c r="G49" s="2" t="s">
        <v>11</v>
      </c>
      <c r="H49" s="2" t="s">
        <v>11</v>
      </c>
    </row>
    <row r="50" spans="1:8" x14ac:dyDescent="0.35">
      <c r="A50" s="4"/>
      <c r="B50" s="2"/>
      <c r="C50" s="2"/>
      <c r="D50" s="2"/>
      <c r="E50" s="2"/>
      <c r="F50" s="2"/>
      <c r="G50" s="2"/>
      <c r="H50" s="2"/>
    </row>
    <row r="51" spans="1:8" x14ac:dyDescent="0.35">
      <c r="A51" s="4"/>
      <c r="B51" s="2"/>
      <c r="C51" s="2"/>
      <c r="D51" s="2"/>
      <c r="E51" s="2"/>
      <c r="F51" s="2"/>
      <c r="G51" s="2"/>
      <c r="H51" s="2"/>
    </row>
    <row r="52" spans="1:8" x14ac:dyDescent="0.35">
      <c r="A52" s="4"/>
      <c r="B52" s="2"/>
      <c r="C52" s="2"/>
      <c r="D52" s="2"/>
      <c r="E52" s="2"/>
      <c r="F52" s="2"/>
      <c r="G52" s="2"/>
      <c r="H52" s="2"/>
    </row>
    <row r="53" spans="1:8" x14ac:dyDescent="0.35">
      <c r="A53" s="4"/>
      <c r="B53" s="2"/>
      <c r="C53" s="2"/>
      <c r="D53" s="2"/>
      <c r="E53" s="2"/>
      <c r="F53" s="2"/>
      <c r="G53" s="2"/>
      <c r="H53" s="2"/>
    </row>
    <row r="54" spans="1:8" x14ac:dyDescent="0.35">
      <c r="A54" s="4"/>
      <c r="B54" s="2"/>
      <c r="C54" s="2"/>
      <c r="D54" s="2"/>
      <c r="E54" s="2"/>
      <c r="F54" s="2"/>
      <c r="G54" s="2"/>
      <c r="H54" s="2"/>
    </row>
    <row r="55" spans="1:8" x14ac:dyDescent="0.35">
      <c r="A55" s="4"/>
      <c r="B55" s="2"/>
      <c r="C55" s="2"/>
      <c r="D55" s="2"/>
      <c r="E55" s="2"/>
      <c r="F55" s="2"/>
      <c r="G55" s="2"/>
      <c r="H55" s="2"/>
    </row>
    <row r="56" spans="1:8" x14ac:dyDescent="0.35">
      <c r="A56" s="4"/>
      <c r="B56" s="2"/>
      <c r="C56" s="2"/>
      <c r="D56" s="2"/>
      <c r="E56" s="2"/>
      <c r="F56" s="2"/>
      <c r="G56" s="2"/>
      <c r="H56" s="2"/>
    </row>
    <row r="57" spans="1:8" x14ac:dyDescent="0.35">
      <c r="A57" s="4"/>
      <c r="B57" s="2"/>
      <c r="C57" s="2"/>
      <c r="D57" s="2"/>
      <c r="E57" s="2"/>
      <c r="F57" s="2"/>
      <c r="G57" s="2"/>
      <c r="H57" s="2"/>
    </row>
    <row r="58" spans="1:8" x14ac:dyDescent="0.35">
      <c r="A58" s="4"/>
      <c r="B58" s="2"/>
      <c r="C58" s="2"/>
      <c r="D58" s="2"/>
      <c r="E58" s="2"/>
      <c r="F58" s="2"/>
      <c r="G58" s="2"/>
      <c r="H58" s="2"/>
    </row>
    <row r="59" spans="1:8" x14ac:dyDescent="0.35">
      <c r="A59" s="4"/>
      <c r="B59" s="2"/>
      <c r="C59" s="2"/>
      <c r="D59" s="2"/>
      <c r="E59" s="2"/>
      <c r="F59" s="2"/>
      <c r="G59" s="2"/>
      <c r="H59" s="2"/>
    </row>
    <row r="60" spans="1:8" x14ac:dyDescent="0.35">
      <c r="A60" s="4"/>
      <c r="B60" s="2"/>
      <c r="C60" s="2"/>
      <c r="D60" s="2"/>
      <c r="E60" s="2"/>
      <c r="F60" s="2"/>
      <c r="G60" s="2"/>
      <c r="H60" s="2"/>
    </row>
    <row r="61" spans="1:8" x14ac:dyDescent="0.35">
      <c r="A61" s="4"/>
      <c r="B61" s="2"/>
      <c r="C61" s="2"/>
      <c r="D61" s="2"/>
      <c r="E61" s="2"/>
      <c r="F61" s="2"/>
      <c r="G61" s="2"/>
      <c r="H61" s="2"/>
    </row>
    <row r="62" spans="1:8" x14ac:dyDescent="0.35">
      <c r="A62" s="4"/>
      <c r="B62" s="2"/>
      <c r="C62" s="2"/>
      <c r="D62" s="2"/>
      <c r="E62" s="2"/>
      <c r="F62" s="2"/>
      <c r="G62" s="2"/>
      <c r="H62" s="2"/>
    </row>
    <row r="63" spans="1:8" x14ac:dyDescent="0.35">
      <c r="A63" s="4"/>
      <c r="B63" s="2"/>
      <c r="C63" s="2"/>
      <c r="D63" s="2"/>
      <c r="E63" s="2"/>
      <c r="F63" s="2"/>
      <c r="G63" s="2"/>
      <c r="H63" s="2"/>
    </row>
    <row r="64" spans="1:8" x14ac:dyDescent="0.35">
      <c r="A64" s="4"/>
      <c r="B64" s="2"/>
      <c r="C64" s="2"/>
      <c r="D64" s="2"/>
      <c r="E64" s="2"/>
      <c r="F64" s="2"/>
      <c r="G64" s="2"/>
      <c r="H64" s="2"/>
    </row>
    <row r="65" spans="1:8" x14ac:dyDescent="0.35">
      <c r="A65" s="4"/>
      <c r="B65" s="2"/>
      <c r="C65" s="2"/>
      <c r="D65" s="2"/>
      <c r="E65" s="2"/>
      <c r="F65" s="2"/>
      <c r="G65" s="2"/>
      <c r="H65" s="2"/>
    </row>
    <row r="66" spans="1:8" x14ac:dyDescent="0.35">
      <c r="A66" s="4"/>
      <c r="B66" s="2"/>
      <c r="C66" s="2"/>
      <c r="D66" s="2"/>
      <c r="E66" s="2"/>
      <c r="F66" s="2"/>
      <c r="G66" s="2"/>
      <c r="H66" s="2"/>
    </row>
    <row r="67" spans="1:8" x14ac:dyDescent="0.35">
      <c r="A67" s="4"/>
      <c r="B67" s="2"/>
      <c r="C67" s="2"/>
      <c r="D67" s="2"/>
      <c r="E67" s="2"/>
      <c r="F67" s="2"/>
      <c r="G67" s="2"/>
      <c r="H67" s="2"/>
    </row>
    <row r="68" spans="1:8" x14ac:dyDescent="0.35">
      <c r="A68" s="4"/>
      <c r="B68" s="2"/>
      <c r="C68" s="2"/>
      <c r="D68" s="2"/>
      <c r="E68" s="2"/>
      <c r="F68" s="2"/>
      <c r="G68" s="2"/>
      <c r="H68" s="2"/>
    </row>
    <row r="69" spans="1:8" x14ac:dyDescent="0.35">
      <c r="A69" s="4"/>
      <c r="B69" s="2"/>
      <c r="C69" s="2"/>
      <c r="D69" s="2"/>
      <c r="E69" s="2"/>
      <c r="F69" s="2"/>
      <c r="G69" s="2"/>
      <c r="H69" s="2"/>
    </row>
    <row r="70" spans="1:8" x14ac:dyDescent="0.35">
      <c r="A70" s="4"/>
      <c r="B70" s="2"/>
      <c r="C70" s="2"/>
      <c r="D70" s="2"/>
      <c r="E70" s="2"/>
      <c r="F70" s="2"/>
      <c r="G70" s="2"/>
      <c r="H70" s="2"/>
    </row>
    <row r="71" spans="1:8" x14ac:dyDescent="0.35">
      <c r="A71" s="4"/>
      <c r="B71" s="2"/>
      <c r="C71" s="2"/>
      <c r="D71" s="2"/>
      <c r="E71" s="2"/>
      <c r="F71" s="2"/>
      <c r="G71" s="2"/>
      <c r="H71" s="2"/>
    </row>
    <row r="72" spans="1:8" x14ac:dyDescent="0.35">
      <c r="A72" s="4"/>
      <c r="B72" s="2"/>
      <c r="C72" s="2"/>
      <c r="D72" s="2"/>
      <c r="E72" s="2"/>
      <c r="F72" s="2"/>
      <c r="G72" s="2"/>
      <c r="H72" s="2"/>
    </row>
    <row r="73" spans="1:8" x14ac:dyDescent="0.35">
      <c r="A73" s="4"/>
      <c r="B73" s="2"/>
      <c r="C73" s="2"/>
      <c r="D73" s="2"/>
      <c r="E73" s="2"/>
      <c r="F73" s="2"/>
      <c r="G73" s="2"/>
      <c r="H73" s="2"/>
    </row>
    <row r="74" spans="1:8" x14ac:dyDescent="0.35">
      <c r="A74" s="4"/>
      <c r="B74" s="2"/>
      <c r="C74" s="2"/>
      <c r="D74" s="2"/>
      <c r="E74" s="2"/>
      <c r="F74" s="2"/>
      <c r="G74" s="2"/>
      <c r="H74" s="2"/>
    </row>
    <row r="75" spans="1:8" x14ac:dyDescent="0.35">
      <c r="A75" s="4"/>
      <c r="B75" s="2"/>
      <c r="C75" s="2"/>
      <c r="D75" s="2"/>
      <c r="E75" s="2"/>
      <c r="F75" s="2"/>
      <c r="G75" s="2"/>
      <c r="H75" s="2"/>
    </row>
    <row r="76" spans="1:8" x14ac:dyDescent="0.35">
      <c r="A76" s="4"/>
      <c r="B76" s="2"/>
      <c r="C76" s="2"/>
      <c r="D76" s="2"/>
      <c r="E76" s="2"/>
      <c r="F76" s="2"/>
      <c r="G76" s="2"/>
      <c r="H76" s="2"/>
    </row>
    <row r="77" spans="1:8" x14ac:dyDescent="0.35">
      <c r="A77" s="4"/>
      <c r="B77" s="2"/>
      <c r="C77" s="2"/>
      <c r="D77" s="2"/>
      <c r="E77" s="2"/>
      <c r="F77" s="2"/>
      <c r="G77" s="2"/>
      <c r="H77" s="2"/>
    </row>
    <row r="78" spans="1:8" x14ac:dyDescent="0.35">
      <c r="A78" s="4"/>
      <c r="B78" s="2"/>
      <c r="C78" s="2"/>
      <c r="D78" s="2"/>
      <c r="E78" s="2"/>
      <c r="F78" s="2"/>
      <c r="G78" s="2"/>
      <c r="H78" s="2"/>
    </row>
  </sheetData>
  <conditionalFormatting sqref="C2:C78">
    <cfRule type="cellIs" dxfId="31" priority="1" operator="equal">
      <formula>"N"</formula>
    </cfRule>
    <cfRule type="cellIs" dxfId="30" priority="2" operator="equal">
      <formula>"P"</formula>
    </cfRule>
  </conditionalFormatting>
  <conditionalFormatting sqref="K1 D1:H78 K3">
    <cfRule type="cellIs" dxfId="29" priority="3" operator="equal">
      <formula>"N"</formula>
    </cfRule>
    <cfRule type="cellIs" dxfId="28" priority="4" operator="equal">
      <formula>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zoomScale="70" zoomScaleNormal="70" workbookViewId="0">
      <selection activeCell="K16" sqref="K16"/>
    </sheetView>
  </sheetViews>
  <sheetFormatPr defaultColWidth="8.7265625" defaultRowHeight="14.5" x14ac:dyDescent="0.35"/>
  <cols>
    <col min="1" max="1" width="7.54296875" style="4" bestFit="1" customWidth="1"/>
    <col min="2" max="2" width="19.453125" style="2" bestFit="1" customWidth="1"/>
    <col min="3" max="3" width="10.81640625" style="2" bestFit="1" customWidth="1"/>
    <col min="4" max="7" width="11.7265625" style="2" bestFit="1" customWidth="1"/>
    <col min="8" max="8" width="11.7265625" bestFit="1" customWidth="1"/>
    <col min="9" max="10" width="8.7265625" style="2"/>
    <col min="11" max="11" width="18.7265625" style="2" customWidth="1"/>
    <col min="12" max="14" width="8.7265625" style="2"/>
    <col min="15" max="15" width="12" style="2" bestFit="1" customWidth="1"/>
    <col min="16" max="17" width="8.7265625" style="2"/>
    <col min="18" max="18" width="12" style="2" bestFit="1" customWidth="1"/>
    <col min="19" max="16384" width="8.7265625" style="2"/>
  </cols>
  <sheetData>
    <row r="1" spans="1:8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4">
        <v>1</v>
      </c>
      <c r="B2" s="2">
        <v>1000</v>
      </c>
      <c r="C2" s="2" t="s">
        <v>3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x14ac:dyDescent="0.35">
      <c r="A3" s="4">
        <v>2</v>
      </c>
      <c r="B3" s="2">
        <v>1000</v>
      </c>
      <c r="C3" s="2" t="s">
        <v>3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x14ac:dyDescent="0.35">
      <c r="A4" s="4">
        <v>3</v>
      </c>
      <c r="B4" s="2">
        <v>1000</v>
      </c>
      <c r="C4" s="2" t="s">
        <v>3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8" x14ac:dyDescent="0.35">
      <c r="A5" s="4">
        <v>4</v>
      </c>
      <c r="B5" s="2">
        <v>1000</v>
      </c>
      <c r="C5" s="2" t="s">
        <v>3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8" x14ac:dyDescent="0.35">
      <c r="A6" s="4">
        <v>5</v>
      </c>
      <c r="B6" s="2">
        <v>1000</v>
      </c>
      <c r="C6" s="2" t="s">
        <v>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8" x14ac:dyDescent="0.35">
      <c r="A7" s="4">
        <v>6</v>
      </c>
      <c r="B7" s="2">
        <v>1000</v>
      </c>
      <c r="C7" s="2" t="s">
        <v>3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8" x14ac:dyDescent="0.35">
      <c r="A8" s="4">
        <v>7</v>
      </c>
      <c r="B8" s="2">
        <v>1000</v>
      </c>
      <c r="C8" s="2" t="s">
        <v>3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8" x14ac:dyDescent="0.35">
      <c r="A9" s="4">
        <v>8</v>
      </c>
      <c r="B9" s="2">
        <v>1000</v>
      </c>
      <c r="C9" s="2" t="s">
        <v>3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 spans="1:8" x14ac:dyDescent="0.35">
      <c r="A10" s="4">
        <v>9</v>
      </c>
      <c r="B10" s="2">
        <v>1000</v>
      </c>
      <c r="C10" s="2" t="s">
        <v>3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 spans="1:8" x14ac:dyDescent="0.35">
      <c r="A11" s="4">
        <v>10</v>
      </c>
      <c r="B11" s="2">
        <v>1000</v>
      </c>
      <c r="C11" s="2" t="s">
        <v>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</row>
    <row r="12" spans="1:8" x14ac:dyDescent="0.35">
      <c r="A12" s="4">
        <v>11</v>
      </c>
      <c r="B12" s="2">
        <v>1000</v>
      </c>
      <c r="C12" s="2" t="s">
        <v>3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</row>
    <row r="13" spans="1:8" x14ac:dyDescent="0.35">
      <c r="A13" s="4">
        <v>12</v>
      </c>
      <c r="B13" s="2">
        <v>1000</v>
      </c>
      <c r="C13" s="2" t="s">
        <v>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 spans="1:8" x14ac:dyDescent="0.35">
      <c r="A14" s="4">
        <v>13</v>
      </c>
      <c r="B14" s="2">
        <v>1000</v>
      </c>
      <c r="C14" s="2" t="s">
        <v>3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</row>
    <row r="15" spans="1:8" x14ac:dyDescent="0.35">
      <c r="A15" s="4">
        <v>14</v>
      </c>
      <c r="B15" s="2">
        <v>1000</v>
      </c>
      <c r="C15" s="2" t="s">
        <v>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</row>
    <row r="16" spans="1:8" x14ac:dyDescent="0.35">
      <c r="A16" s="5">
        <v>15</v>
      </c>
      <c r="B16" s="6">
        <v>1000</v>
      </c>
      <c r="C16" s="6" t="s">
        <v>3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</row>
    <row r="17" spans="1:8" x14ac:dyDescent="0.35">
      <c r="A17" s="4">
        <v>16</v>
      </c>
      <c r="B17" s="2">
        <v>500</v>
      </c>
      <c r="C17" s="2" t="s">
        <v>3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</row>
    <row r="18" spans="1:8" x14ac:dyDescent="0.35">
      <c r="A18" s="4">
        <v>17</v>
      </c>
      <c r="B18" s="2">
        <v>500</v>
      </c>
      <c r="C18" s="2" t="s">
        <v>3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</row>
    <row r="19" spans="1:8" x14ac:dyDescent="0.35">
      <c r="A19" s="4">
        <v>18</v>
      </c>
      <c r="B19" s="2">
        <v>500</v>
      </c>
      <c r="C19" s="2" t="s">
        <v>3</v>
      </c>
      <c r="D19" s="2" t="s">
        <v>9</v>
      </c>
      <c r="E19" s="2" t="s">
        <v>11</v>
      </c>
      <c r="F19" s="2" t="s">
        <v>9</v>
      </c>
      <c r="G19" s="2" t="s">
        <v>9</v>
      </c>
      <c r="H19" s="2" t="s">
        <v>9</v>
      </c>
    </row>
    <row r="20" spans="1:8" x14ac:dyDescent="0.35">
      <c r="A20" s="4">
        <v>19</v>
      </c>
      <c r="B20" s="2">
        <v>500</v>
      </c>
      <c r="C20" s="2" t="s">
        <v>3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spans="1:8" x14ac:dyDescent="0.35">
      <c r="A21" s="4">
        <v>20</v>
      </c>
      <c r="B21" s="2">
        <v>500</v>
      </c>
      <c r="C21" s="2" t="s">
        <v>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</row>
    <row r="22" spans="1:8" x14ac:dyDescent="0.35">
      <c r="A22" s="4">
        <v>21</v>
      </c>
      <c r="B22" s="2">
        <v>500</v>
      </c>
      <c r="C22" s="2" t="s">
        <v>3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</row>
    <row r="23" spans="1:8" x14ac:dyDescent="0.35">
      <c r="A23" s="4">
        <v>22</v>
      </c>
      <c r="B23" s="2">
        <v>500</v>
      </c>
      <c r="C23" s="2" t="s">
        <v>3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spans="1:8" x14ac:dyDescent="0.35">
      <c r="A24" s="4">
        <v>23</v>
      </c>
      <c r="B24" s="2">
        <v>500</v>
      </c>
      <c r="C24" s="2" t="s">
        <v>3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spans="1:8" x14ac:dyDescent="0.35">
      <c r="A25" s="4">
        <v>24</v>
      </c>
      <c r="B25" s="2">
        <v>500</v>
      </c>
      <c r="C25" s="2" t="s">
        <v>3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</row>
    <row r="26" spans="1:8" x14ac:dyDescent="0.35">
      <c r="A26" s="4">
        <v>25</v>
      </c>
      <c r="B26" s="2">
        <v>500</v>
      </c>
      <c r="C26" s="2" t="s">
        <v>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</row>
    <row r="27" spans="1:8" x14ac:dyDescent="0.35">
      <c r="A27" s="4">
        <v>26</v>
      </c>
      <c r="B27" s="2">
        <v>500</v>
      </c>
      <c r="C27" s="2" t="s">
        <v>3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spans="1:8" x14ac:dyDescent="0.35">
      <c r="A28" s="5">
        <v>27</v>
      </c>
      <c r="B28" s="6">
        <v>500</v>
      </c>
      <c r="C28" s="6" t="s">
        <v>3</v>
      </c>
      <c r="D28" s="6" t="s">
        <v>9</v>
      </c>
      <c r="E28" s="6" t="s">
        <v>9</v>
      </c>
      <c r="F28" s="6" t="s">
        <v>9</v>
      </c>
      <c r="G28" s="6" t="s">
        <v>9</v>
      </c>
      <c r="H28" s="6" t="s">
        <v>9</v>
      </c>
    </row>
    <row r="29" spans="1:8" x14ac:dyDescent="0.35">
      <c r="A29" s="4">
        <v>28</v>
      </c>
      <c r="B29" s="2">
        <v>250</v>
      </c>
      <c r="C29" s="2" t="s">
        <v>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8" x14ac:dyDescent="0.35">
      <c r="A30" s="4">
        <v>29</v>
      </c>
      <c r="B30" s="2">
        <v>250</v>
      </c>
      <c r="C30" s="2" t="s">
        <v>3</v>
      </c>
      <c r="D30" s="2" t="s">
        <v>9</v>
      </c>
      <c r="E30" s="2" t="s">
        <v>9</v>
      </c>
      <c r="F30" s="2" t="s">
        <v>9</v>
      </c>
      <c r="G30" s="2" t="s">
        <v>11</v>
      </c>
      <c r="H30" s="2" t="s">
        <v>9</v>
      </c>
    </row>
    <row r="31" spans="1:8" x14ac:dyDescent="0.35">
      <c r="A31" s="4">
        <v>30</v>
      </c>
      <c r="B31" s="2">
        <v>250</v>
      </c>
      <c r="C31" s="2" t="s">
        <v>3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spans="1:8" x14ac:dyDescent="0.35">
      <c r="A32" s="4">
        <v>31</v>
      </c>
      <c r="B32" s="2">
        <v>250</v>
      </c>
      <c r="C32" s="2" t="s">
        <v>3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12" x14ac:dyDescent="0.35">
      <c r="A33" s="4">
        <v>32</v>
      </c>
      <c r="B33" s="2">
        <v>250</v>
      </c>
      <c r="C33" s="2" t="s">
        <v>3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12" x14ac:dyDescent="0.35">
      <c r="A34" s="4">
        <v>33</v>
      </c>
      <c r="B34" s="2">
        <v>250</v>
      </c>
      <c r="C34" s="2" t="s">
        <v>3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spans="1:12" x14ac:dyDescent="0.35">
      <c r="A35" s="4">
        <v>34</v>
      </c>
      <c r="B35" s="2">
        <v>250</v>
      </c>
      <c r="C35" s="2" t="s">
        <v>3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</row>
    <row r="36" spans="1:12" x14ac:dyDescent="0.35">
      <c r="A36" s="4">
        <v>35</v>
      </c>
      <c r="B36" s="2">
        <v>250</v>
      </c>
      <c r="C36" s="2" t="s">
        <v>3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12" x14ac:dyDescent="0.35">
      <c r="A37" s="4">
        <v>36</v>
      </c>
      <c r="B37" s="2">
        <v>250</v>
      </c>
      <c r="C37" s="2" t="s">
        <v>3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spans="1:12" x14ac:dyDescent="0.35">
      <c r="A38" s="5">
        <v>37</v>
      </c>
      <c r="B38" s="6">
        <v>250</v>
      </c>
      <c r="C38" s="6" t="s">
        <v>3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</row>
    <row r="39" spans="1:12" x14ac:dyDescent="0.35">
      <c r="A39" s="4">
        <v>38</v>
      </c>
      <c r="B39" s="2">
        <v>125</v>
      </c>
      <c r="C39" s="2" t="s">
        <v>3</v>
      </c>
      <c r="D39" s="2" t="s">
        <v>9</v>
      </c>
      <c r="E39" s="2" t="s">
        <v>9</v>
      </c>
      <c r="F39" s="2" t="s">
        <v>11</v>
      </c>
      <c r="G39" s="2" t="s">
        <v>11</v>
      </c>
      <c r="H39" s="2" t="s">
        <v>11</v>
      </c>
    </row>
    <row r="40" spans="1:12" x14ac:dyDescent="0.35">
      <c r="A40" s="4">
        <v>39</v>
      </c>
      <c r="B40" s="2">
        <v>125</v>
      </c>
      <c r="C40" s="2" t="s">
        <v>3</v>
      </c>
      <c r="D40" s="2" t="s">
        <v>11</v>
      </c>
      <c r="E40" s="2" t="s">
        <v>9</v>
      </c>
      <c r="F40" s="2" t="s">
        <v>9</v>
      </c>
      <c r="G40" s="2" t="s">
        <v>9</v>
      </c>
      <c r="H40" s="2" t="s">
        <v>9</v>
      </c>
    </row>
    <row r="41" spans="1:12" x14ac:dyDescent="0.35">
      <c r="A41" s="4">
        <v>40</v>
      </c>
      <c r="B41" s="2">
        <v>125</v>
      </c>
      <c r="C41" s="2" t="s">
        <v>3</v>
      </c>
      <c r="D41" s="2" t="s">
        <v>9</v>
      </c>
      <c r="E41" s="2" t="s">
        <v>11</v>
      </c>
      <c r="F41" s="2" t="s">
        <v>9</v>
      </c>
      <c r="G41" s="2" t="s">
        <v>11</v>
      </c>
      <c r="H41" s="2" t="s">
        <v>11</v>
      </c>
    </row>
    <row r="42" spans="1:12" x14ac:dyDescent="0.35">
      <c r="A42" s="4">
        <v>41</v>
      </c>
      <c r="B42" s="2">
        <v>125</v>
      </c>
      <c r="C42" s="2" t="s">
        <v>3</v>
      </c>
      <c r="D42" s="2" t="s">
        <v>9</v>
      </c>
      <c r="E42" s="2" t="s">
        <v>11</v>
      </c>
      <c r="F42" s="2" t="s">
        <v>9</v>
      </c>
      <c r="G42" s="2" t="s">
        <v>9</v>
      </c>
      <c r="H42" s="2" t="s">
        <v>9</v>
      </c>
    </row>
    <row r="43" spans="1:12" x14ac:dyDescent="0.35">
      <c r="A43" s="4">
        <v>42</v>
      </c>
      <c r="B43" s="2">
        <v>125</v>
      </c>
      <c r="C43" s="2" t="s">
        <v>3</v>
      </c>
      <c r="D43" s="2" t="s">
        <v>11</v>
      </c>
      <c r="E43" s="2" t="s">
        <v>11</v>
      </c>
      <c r="F43" s="2" t="s">
        <v>9</v>
      </c>
      <c r="G43" s="2" t="s">
        <v>11</v>
      </c>
      <c r="H43" s="2" t="s">
        <v>11</v>
      </c>
      <c r="K43" s="2" t="s">
        <v>16</v>
      </c>
      <c r="L43" s="2">
        <f>(COUNTIF(D39:H48,"p"))/50</f>
        <v>0.57999999999999996</v>
      </c>
    </row>
    <row r="44" spans="1:12" x14ac:dyDescent="0.35">
      <c r="A44" s="4">
        <v>43</v>
      </c>
      <c r="B44" s="2">
        <v>125</v>
      </c>
      <c r="C44" s="2" t="s">
        <v>3</v>
      </c>
      <c r="D44" s="2" t="s">
        <v>11</v>
      </c>
      <c r="E44" s="2" t="s">
        <v>9</v>
      </c>
      <c r="F44" s="2" t="s">
        <v>11</v>
      </c>
      <c r="G44" s="2" t="s">
        <v>11</v>
      </c>
      <c r="H44" s="2" t="s">
        <v>9</v>
      </c>
    </row>
    <row r="45" spans="1:12" x14ac:dyDescent="0.35">
      <c r="A45" s="4">
        <v>44</v>
      </c>
      <c r="B45" s="2">
        <v>125</v>
      </c>
      <c r="C45" s="2" t="s">
        <v>3</v>
      </c>
      <c r="D45" s="2" t="s">
        <v>11</v>
      </c>
      <c r="E45" s="2" t="s">
        <v>9</v>
      </c>
      <c r="F45" s="2" t="s">
        <v>11</v>
      </c>
      <c r="G45" s="2" t="s">
        <v>9</v>
      </c>
      <c r="H45" s="2" t="s">
        <v>11</v>
      </c>
    </row>
    <row r="46" spans="1:12" x14ac:dyDescent="0.35">
      <c r="A46" s="4">
        <v>45</v>
      </c>
      <c r="B46" s="2">
        <v>125</v>
      </c>
      <c r="C46" s="2" t="s">
        <v>3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11</v>
      </c>
    </row>
    <row r="47" spans="1:12" x14ac:dyDescent="0.35">
      <c r="A47" s="4">
        <v>46</v>
      </c>
      <c r="B47" s="2">
        <v>125</v>
      </c>
      <c r="C47" s="2" t="s">
        <v>3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</row>
    <row r="48" spans="1:12" x14ac:dyDescent="0.35">
      <c r="A48" s="5">
        <v>47</v>
      </c>
      <c r="B48" s="6">
        <v>125</v>
      </c>
      <c r="C48" s="6" t="s">
        <v>3</v>
      </c>
      <c r="D48" s="6" t="s">
        <v>9</v>
      </c>
      <c r="E48" s="6" t="s">
        <v>9</v>
      </c>
      <c r="F48" s="6" t="s">
        <v>11</v>
      </c>
      <c r="G48" s="6" t="s">
        <v>9</v>
      </c>
      <c r="H48" s="6" t="s">
        <v>11</v>
      </c>
    </row>
    <row r="49" spans="1:8" ht="15" customHeight="1" x14ac:dyDescent="0.35">
      <c r="A49" s="4">
        <v>48</v>
      </c>
      <c r="B49" s="2">
        <v>63</v>
      </c>
      <c r="C49" s="2" t="s">
        <v>3</v>
      </c>
      <c r="D49" s="11" t="s">
        <v>12</v>
      </c>
      <c r="E49" s="11"/>
      <c r="F49" s="11"/>
      <c r="G49" s="11"/>
      <c r="H49" s="11"/>
    </row>
    <row r="50" spans="1:8" x14ac:dyDescent="0.35">
      <c r="A50" s="4">
        <v>49</v>
      </c>
      <c r="B50" s="2">
        <v>63</v>
      </c>
      <c r="C50" s="2" t="s">
        <v>3</v>
      </c>
      <c r="D50" s="12"/>
      <c r="E50" s="12"/>
      <c r="F50" s="12"/>
      <c r="G50" s="12"/>
      <c r="H50" s="12"/>
    </row>
    <row r="51" spans="1:8" x14ac:dyDescent="0.35">
      <c r="A51" s="4">
        <v>50</v>
      </c>
      <c r="B51" s="2">
        <v>63</v>
      </c>
      <c r="C51" s="2" t="s">
        <v>3</v>
      </c>
      <c r="H51" s="2"/>
    </row>
    <row r="52" spans="1:8" x14ac:dyDescent="0.35">
      <c r="A52" s="4">
        <v>51</v>
      </c>
      <c r="B52" s="2">
        <v>63</v>
      </c>
      <c r="C52" s="2" t="s">
        <v>3</v>
      </c>
      <c r="H52" s="2"/>
    </row>
    <row r="53" spans="1:8" x14ac:dyDescent="0.35">
      <c r="A53" s="4">
        <v>52</v>
      </c>
      <c r="B53" s="2">
        <v>63</v>
      </c>
      <c r="C53" s="2" t="s">
        <v>3</v>
      </c>
      <c r="H53" s="2"/>
    </row>
    <row r="54" spans="1:8" x14ac:dyDescent="0.35">
      <c r="A54" s="4">
        <v>53</v>
      </c>
      <c r="B54" s="2">
        <v>63</v>
      </c>
      <c r="C54" s="2" t="s">
        <v>3</v>
      </c>
      <c r="H54" s="2"/>
    </row>
    <row r="55" spans="1:8" x14ac:dyDescent="0.35">
      <c r="A55" s="4">
        <v>54</v>
      </c>
      <c r="B55" s="2">
        <v>63</v>
      </c>
      <c r="C55" s="2" t="s">
        <v>3</v>
      </c>
      <c r="H55" s="2"/>
    </row>
    <row r="56" spans="1:8" x14ac:dyDescent="0.35">
      <c r="A56" s="4">
        <v>55</v>
      </c>
      <c r="B56" s="2">
        <v>63</v>
      </c>
      <c r="C56" s="2" t="s">
        <v>3</v>
      </c>
      <c r="H56" s="2"/>
    </row>
    <row r="57" spans="1:8" x14ac:dyDescent="0.35">
      <c r="A57" s="4">
        <v>56</v>
      </c>
      <c r="B57" s="2">
        <v>63</v>
      </c>
      <c r="C57" s="2" t="s">
        <v>3</v>
      </c>
      <c r="H57" s="2"/>
    </row>
    <row r="58" spans="1:8" x14ac:dyDescent="0.35">
      <c r="A58" s="5">
        <v>57</v>
      </c>
      <c r="B58" s="6">
        <v>63</v>
      </c>
      <c r="C58" s="6" t="s">
        <v>3</v>
      </c>
      <c r="D58" s="6"/>
      <c r="E58" s="6"/>
      <c r="F58" s="6"/>
      <c r="G58" s="6"/>
      <c r="H58" s="6"/>
    </row>
    <row r="59" spans="1:8" x14ac:dyDescent="0.35">
      <c r="A59" s="4">
        <v>58</v>
      </c>
      <c r="B59" s="2">
        <v>31</v>
      </c>
      <c r="C59" s="2" t="s">
        <v>3</v>
      </c>
      <c r="H59" s="2"/>
    </row>
    <row r="60" spans="1:8" x14ac:dyDescent="0.35">
      <c r="A60" s="4">
        <v>59</v>
      </c>
      <c r="B60" s="2">
        <v>31</v>
      </c>
      <c r="C60" s="2" t="s">
        <v>3</v>
      </c>
      <c r="H60" s="2"/>
    </row>
    <row r="61" spans="1:8" x14ac:dyDescent="0.35">
      <c r="A61" s="4">
        <v>60</v>
      </c>
      <c r="B61" s="2">
        <v>31</v>
      </c>
      <c r="C61" s="2" t="s">
        <v>3</v>
      </c>
      <c r="H61" s="2"/>
    </row>
    <row r="62" spans="1:8" x14ac:dyDescent="0.35">
      <c r="A62" s="4">
        <v>61</v>
      </c>
      <c r="B62" s="2">
        <v>31</v>
      </c>
      <c r="C62" s="2" t="s">
        <v>3</v>
      </c>
      <c r="H62" s="2"/>
    </row>
    <row r="63" spans="1:8" x14ac:dyDescent="0.35">
      <c r="A63" s="4">
        <v>62</v>
      </c>
      <c r="B63" s="2">
        <v>31</v>
      </c>
      <c r="C63" s="2" t="s">
        <v>3</v>
      </c>
      <c r="H63" s="2"/>
    </row>
    <row r="64" spans="1:8" x14ac:dyDescent="0.35">
      <c r="A64" s="4">
        <v>63</v>
      </c>
      <c r="B64" s="2">
        <v>31</v>
      </c>
      <c r="C64" s="2" t="s">
        <v>3</v>
      </c>
      <c r="H64" s="2"/>
    </row>
    <row r="65" spans="1:8" x14ac:dyDescent="0.35">
      <c r="A65" s="4">
        <v>64</v>
      </c>
      <c r="B65" s="2">
        <v>31</v>
      </c>
      <c r="C65" s="2" t="s">
        <v>3</v>
      </c>
      <c r="H65" s="2"/>
    </row>
    <row r="66" spans="1:8" x14ac:dyDescent="0.35">
      <c r="A66" s="4">
        <v>65</v>
      </c>
      <c r="B66" s="2">
        <v>31</v>
      </c>
      <c r="C66" s="2" t="s">
        <v>3</v>
      </c>
      <c r="H66" s="2"/>
    </row>
    <row r="67" spans="1:8" x14ac:dyDescent="0.35">
      <c r="A67" s="4">
        <v>66</v>
      </c>
      <c r="B67" s="2">
        <v>31</v>
      </c>
      <c r="C67" s="2" t="s">
        <v>3</v>
      </c>
      <c r="H67" s="2"/>
    </row>
    <row r="68" spans="1:8" x14ac:dyDescent="0.35">
      <c r="A68" s="5">
        <v>67</v>
      </c>
      <c r="B68" s="6">
        <v>31</v>
      </c>
      <c r="C68" s="6" t="s">
        <v>3</v>
      </c>
      <c r="D68" s="6"/>
      <c r="E68" s="6"/>
      <c r="F68" s="6"/>
      <c r="G68" s="6"/>
      <c r="H68" s="6"/>
    </row>
    <row r="69" spans="1:8" x14ac:dyDescent="0.35">
      <c r="A69" s="4">
        <v>68</v>
      </c>
      <c r="B69" s="2">
        <v>16</v>
      </c>
      <c r="C69" s="2" t="s">
        <v>3</v>
      </c>
      <c r="H69" s="2"/>
    </row>
    <row r="70" spans="1:8" x14ac:dyDescent="0.35">
      <c r="A70" s="4">
        <v>69</v>
      </c>
      <c r="B70" s="2">
        <v>16</v>
      </c>
      <c r="C70" s="2" t="s">
        <v>3</v>
      </c>
      <c r="H70" s="2"/>
    </row>
    <row r="71" spans="1:8" x14ac:dyDescent="0.35">
      <c r="A71" s="4">
        <v>70</v>
      </c>
      <c r="B71" s="2">
        <v>16</v>
      </c>
      <c r="C71" s="2" t="s">
        <v>3</v>
      </c>
      <c r="H71" s="2"/>
    </row>
    <row r="72" spans="1:8" x14ac:dyDescent="0.35">
      <c r="A72" s="4">
        <v>71</v>
      </c>
      <c r="B72" s="2">
        <v>16</v>
      </c>
      <c r="C72" s="2" t="s">
        <v>3</v>
      </c>
      <c r="H72" s="2"/>
    </row>
    <row r="73" spans="1:8" x14ac:dyDescent="0.35">
      <c r="A73" s="4">
        <v>72</v>
      </c>
      <c r="B73" s="2">
        <v>16</v>
      </c>
      <c r="C73" s="2" t="s">
        <v>3</v>
      </c>
      <c r="H73" s="2"/>
    </row>
    <row r="74" spans="1:8" x14ac:dyDescent="0.35">
      <c r="A74" s="4">
        <v>73</v>
      </c>
      <c r="B74" s="2">
        <v>16</v>
      </c>
      <c r="C74" s="2" t="s">
        <v>3</v>
      </c>
      <c r="H74" s="2"/>
    </row>
    <row r="75" spans="1:8" x14ac:dyDescent="0.35">
      <c r="A75" s="4">
        <v>74</v>
      </c>
      <c r="B75" s="2">
        <v>16</v>
      </c>
      <c r="C75" s="2" t="s">
        <v>3</v>
      </c>
      <c r="H75" s="2"/>
    </row>
    <row r="76" spans="1:8" x14ac:dyDescent="0.35">
      <c r="A76" s="4">
        <v>75</v>
      </c>
      <c r="B76" s="2">
        <v>16</v>
      </c>
      <c r="C76" s="2" t="s">
        <v>3</v>
      </c>
      <c r="H76" s="2"/>
    </row>
    <row r="77" spans="1:8" x14ac:dyDescent="0.35">
      <c r="A77" s="4">
        <v>76</v>
      </c>
      <c r="B77" s="2">
        <v>16</v>
      </c>
      <c r="C77" s="2" t="s">
        <v>3</v>
      </c>
      <c r="H77" s="2"/>
    </row>
    <row r="78" spans="1:8" x14ac:dyDescent="0.35">
      <c r="A78" s="4">
        <v>77</v>
      </c>
      <c r="B78" s="2">
        <v>16</v>
      </c>
      <c r="C78" s="2" t="s">
        <v>3</v>
      </c>
      <c r="H78" s="2"/>
    </row>
  </sheetData>
  <mergeCells count="1">
    <mergeCell ref="D49:H50"/>
  </mergeCells>
  <conditionalFormatting sqref="C2:C78">
    <cfRule type="cellIs" dxfId="27" priority="1" operator="equal">
      <formula>"N"</formula>
    </cfRule>
    <cfRule type="cellIs" dxfId="26" priority="2" operator="equal">
      <formula>"P"</formula>
    </cfRule>
  </conditionalFormatting>
  <conditionalFormatting sqref="D1:H48 D49 D51:H78 D79:G1048576">
    <cfRule type="cellIs" dxfId="25" priority="3" operator="equal">
      <formula>"N"</formula>
    </cfRule>
    <cfRule type="cellIs" dxfId="24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DB18-ECB5-4EBE-87DB-C63409673C94}">
  <dimension ref="A1:L78"/>
  <sheetViews>
    <sheetView zoomScale="70" zoomScaleNormal="70" workbookViewId="0">
      <selection activeCell="L20" sqref="L20"/>
    </sheetView>
  </sheetViews>
  <sheetFormatPr defaultColWidth="8.81640625"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1.54296875" bestFit="1" customWidth="1"/>
  </cols>
  <sheetData>
    <row r="1" spans="1:12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K1" s="7" t="s">
        <v>14</v>
      </c>
      <c r="L1">
        <f>(COUNTIF(D2:H49,"n"))/(48*5)</f>
        <v>0.98750000000000004</v>
      </c>
    </row>
    <row r="2" spans="1:12" x14ac:dyDescent="0.35">
      <c r="A2" s="4">
        <v>1</v>
      </c>
      <c r="B2" s="2">
        <v>0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12" x14ac:dyDescent="0.35">
      <c r="A3" s="4">
        <v>2</v>
      </c>
      <c r="B3" s="2">
        <v>0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9</v>
      </c>
      <c r="H3" s="2" t="s">
        <v>11</v>
      </c>
      <c r="K3" s="2" t="s">
        <v>15</v>
      </c>
      <c r="L3">
        <f>(COUNTIF(D2:H49,"p"))/(48*5)</f>
        <v>1.2500000000000001E-2</v>
      </c>
    </row>
    <row r="4" spans="1:12" x14ac:dyDescent="0.35">
      <c r="A4" s="4">
        <v>3</v>
      </c>
      <c r="B4" s="2">
        <v>0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12" x14ac:dyDescent="0.35">
      <c r="A5" s="4">
        <v>4</v>
      </c>
      <c r="B5" s="2">
        <v>0</v>
      </c>
      <c r="C5" s="2" t="s">
        <v>10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12" x14ac:dyDescent="0.35">
      <c r="A6" s="4">
        <v>5</v>
      </c>
      <c r="B6" s="2">
        <v>0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12" x14ac:dyDescent="0.35">
      <c r="A7" s="4">
        <v>6</v>
      </c>
      <c r="B7" s="2">
        <v>0</v>
      </c>
      <c r="C7" s="2" t="s">
        <v>10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</row>
    <row r="8" spans="1:12" x14ac:dyDescent="0.35">
      <c r="A8" s="4">
        <v>7</v>
      </c>
      <c r="B8" s="2">
        <v>0</v>
      </c>
      <c r="C8" s="2" t="s">
        <v>10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12" x14ac:dyDescent="0.35">
      <c r="A9" s="4">
        <v>8</v>
      </c>
      <c r="B9" s="2">
        <v>0</v>
      </c>
      <c r="C9" s="2" t="s">
        <v>10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12" x14ac:dyDescent="0.35">
      <c r="A10" s="4">
        <v>9</v>
      </c>
      <c r="B10" s="2">
        <v>0</v>
      </c>
      <c r="C10" s="2" t="s">
        <v>10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</row>
    <row r="11" spans="1:12" x14ac:dyDescent="0.35">
      <c r="A11" s="4">
        <v>10</v>
      </c>
      <c r="B11" s="2">
        <v>0</v>
      </c>
      <c r="C11" s="2" t="s">
        <v>10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12" x14ac:dyDescent="0.35">
      <c r="A12" s="4">
        <v>11</v>
      </c>
      <c r="B12" s="2">
        <v>0</v>
      </c>
      <c r="C12" s="2" t="s">
        <v>10</v>
      </c>
      <c r="D12" s="2" t="s">
        <v>11</v>
      </c>
      <c r="E12" s="2" t="s">
        <v>11</v>
      </c>
      <c r="F12" s="2" t="s">
        <v>9</v>
      </c>
      <c r="G12" s="2" t="s">
        <v>11</v>
      </c>
      <c r="H12" s="2" t="s">
        <v>11</v>
      </c>
    </row>
    <row r="13" spans="1:12" x14ac:dyDescent="0.35">
      <c r="A13" s="4">
        <v>12</v>
      </c>
      <c r="B13" s="2">
        <v>0</v>
      </c>
      <c r="C13" s="2" t="s">
        <v>10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12" x14ac:dyDescent="0.35">
      <c r="A14" s="4">
        <v>13</v>
      </c>
      <c r="B14" s="2">
        <v>0</v>
      </c>
      <c r="C14" s="2" t="s">
        <v>10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12" x14ac:dyDescent="0.35">
      <c r="A15" s="4">
        <v>14</v>
      </c>
      <c r="B15" s="2">
        <v>0</v>
      </c>
      <c r="C15" s="2" t="s">
        <v>10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</row>
    <row r="16" spans="1:12" x14ac:dyDescent="0.35">
      <c r="A16" s="4">
        <v>15</v>
      </c>
      <c r="B16" s="2">
        <v>0</v>
      </c>
      <c r="C16" s="2" t="s">
        <v>10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11</v>
      </c>
    </row>
    <row r="17" spans="1:9" x14ac:dyDescent="0.35">
      <c r="A17" s="4">
        <v>16</v>
      </c>
      <c r="B17" s="2">
        <v>0</v>
      </c>
      <c r="C17" s="2" t="s">
        <v>10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11</v>
      </c>
    </row>
    <row r="18" spans="1:9" x14ac:dyDescent="0.35">
      <c r="A18" s="4">
        <v>17</v>
      </c>
      <c r="B18" s="2">
        <v>0</v>
      </c>
      <c r="C18" s="2" t="s">
        <v>10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  <c r="I18" s="2"/>
    </row>
    <row r="19" spans="1:9" x14ac:dyDescent="0.35">
      <c r="A19" s="4">
        <v>18</v>
      </c>
      <c r="B19" s="2">
        <v>0</v>
      </c>
      <c r="C19" s="2" t="s">
        <v>10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</row>
    <row r="20" spans="1:9" x14ac:dyDescent="0.35">
      <c r="A20" s="4">
        <v>19</v>
      </c>
      <c r="B20" s="2">
        <v>0</v>
      </c>
      <c r="C20" s="2" t="s">
        <v>10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</row>
    <row r="21" spans="1:9" x14ac:dyDescent="0.35">
      <c r="A21" s="4">
        <v>20</v>
      </c>
      <c r="B21" s="2">
        <v>0</v>
      </c>
      <c r="C21" s="2" t="s">
        <v>10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11</v>
      </c>
    </row>
    <row r="22" spans="1:9" x14ac:dyDescent="0.35">
      <c r="A22" s="4">
        <v>21</v>
      </c>
      <c r="B22" s="2">
        <v>0</v>
      </c>
      <c r="C22" s="2" t="s">
        <v>10</v>
      </c>
      <c r="D22" s="2" t="s">
        <v>11</v>
      </c>
      <c r="E22" s="2" t="s">
        <v>9</v>
      </c>
      <c r="F22" s="2" t="s">
        <v>11</v>
      </c>
      <c r="G22" s="2" t="s">
        <v>11</v>
      </c>
      <c r="H22" s="2" t="s">
        <v>11</v>
      </c>
    </row>
    <row r="23" spans="1:9" x14ac:dyDescent="0.35">
      <c r="A23" s="4">
        <v>22</v>
      </c>
      <c r="B23" s="2">
        <v>0</v>
      </c>
      <c r="C23" s="2" t="s">
        <v>10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9" x14ac:dyDescent="0.35">
      <c r="A24" s="4">
        <v>23</v>
      </c>
      <c r="B24" s="2">
        <v>0</v>
      </c>
      <c r="C24" s="2" t="s">
        <v>10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11</v>
      </c>
    </row>
    <row r="25" spans="1:9" x14ac:dyDescent="0.35">
      <c r="A25" s="4">
        <v>24</v>
      </c>
      <c r="B25" s="2">
        <v>0</v>
      </c>
      <c r="C25" s="2" t="s">
        <v>10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9" x14ac:dyDescent="0.35">
      <c r="A26" s="4">
        <v>25</v>
      </c>
      <c r="B26" s="2">
        <v>0</v>
      </c>
      <c r="C26" s="2" t="s">
        <v>10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</row>
    <row r="27" spans="1:9" x14ac:dyDescent="0.35">
      <c r="A27" s="4">
        <v>26</v>
      </c>
      <c r="B27" s="2">
        <v>0</v>
      </c>
      <c r="C27" s="2" t="s">
        <v>10</v>
      </c>
      <c r="D27" s="2" t="s">
        <v>11</v>
      </c>
      <c r="E27" s="2" t="s">
        <v>11</v>
      </c>
      <c r="F27" s="2" t="s">
        <v>11</v>
      </c>
      <c r="G27" s="2" t="s">
        <v>11</v>
      </c>
      <c r="H27" s="2" t="s">
        <v>11</v>
      </c>
    </row>
    <row r="28" spans="1:9" x14ac:dyDescent="0.35">
      <c r="A28" s="4">
        <v>27</v>
      </c>
      <c r="B28" s="2">
        <v>0</v>
      </c>
      <c r="C28" s="2" t="s">
        <v>10</v>
      </c>
      <c r="D28" s="2" t="s">
        <v>11</v>
      </c>
      <c r="E28" s="2" t="s">
        <v>11</v>
      </c>
      <c r="F28" s="2" t="s">
        <v>11</v>
      </c>
      <c r="G28" s="2" t="s">
        <v>11</v>
      </c>
      <c r="H28" s="2" t="s">
        <v>11</v>
      </c>
    </row>
    <row r="29" spans="1:9" x14ac:dyDescent="0.35">
      <c r="A29" s="4">
        <v>28</v>
      </c>
      <c r="B29" s="2">
        <v>0</v>
      </c>
      <c r="C29" s="2" t="s">
        <v>10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9" x14ac:dyDescent="0.35">
      <c r="A30" s="4">
        <v>29</v>
      </c>
      <c r="B30" s="2">
        <v>0</v>
      </c>
      <c r="C30" s="2" t="s">
        <v>10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</row>
    <row r="31" spans="1:9" x14ac:dyDescent="0.35">
      <c r="A31" s="4">
        <v>30</v>
      </c>
      <c r="B31" s="2">
        <v>0</v>
      </c>
      <c r="C31" s="2" t="s">
        <v>10</v>
      </c>
      <c r="D31" s="2" t="s">
        <v>11</v>
      </c>
      <c r="E31" s="2" t="s">
        <v>11</v>
      </c>
      <c r="F31" s="2" t="s">
        <v>11</v>
      </c>
      <c r="G31" s="2" t="s">
        <v>11</v>
      </c>
      <c r="H31" s="2" t="s">
        <v>11</v>
      </c>
    </row>
    <row r="32" spans="1:9" x14ac:dyDescent="0.35">
      <c r="A32" s="4">
        <v>31</v>
      </c>
      <c r="B32" s="2">
        <v>0</v>
      </c>
      <c r="C32" s="2" t="s">
        <v>10</v>
      </c>
      <c r="D32" s="2" t="s">
        <v>11</v>
      </c>
      <c r="E32" s="2" t="s">
        <v>11</v>
      </c>
      <c r="F32" s="2" t="s">
        <v>11</v>
      </c>
      <c r="G32" s="2" t="s">
        <v>11</v>
      </c>
      <c r="H32" s="2" t="s">
        <v>11</v>
      </c>
    </row>
    <row r="33" spans="1:8" x14ac:dyDescent="0.35">
      <c r="A33" s="4">
        <v>32</v>
      </c>
      <c r="B33" s="2">
        <v>0</v>
      </c>
      <c r="C33" s="2" t="s">
        <v>10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</row>
    <row r="34" spans="1:8" x14ac:dyDescent="0.35">
      <c r="A34" s="4">
        <v>33</v>
      </c>
      <c r="B34" s="2">
        <v>0</v>
      </c>
      <c r="C34" s="2" t="s">
        <v>10</v>
      </c>
      <c r="D34" s="2" t="s">
        <v>11</v>
      </c>
      <c r="E34" s="2" t="s">
        <v>11</v>
      </c>
      <c r="F34" s="2" t="s">
        <v>11</v>
      </c>
      <c r="G34" s="2" t="s">
        <v>11</v>
      </c>
      <c r="H34" s="2" t="s">
        <v>11</v>
      </c>
    </row>
    <row r="35" spans="1:8" x14ac:dyDescent="0.35">
      <c r="A35" s="4">
        <v>34</v>
      </c>
      <c r="B35" s="2">
        <v>0</v>
      </c>
      <c r="C35" s="2" t="s">
        <v>10</v>
      </c>
      <c r="D35" s="2" t="s">
        <v>11</v>
      </c>
      <c r="E35" s="2" t="s">
        <v>11</v>
      </c>
      <c r="F35" s="2" t="s">
        <v>11</v>
      </c>
      <c r="G35" s="2" t="s">
        <v>11</v>
      </c>
      <c r="H35" s="2" t="s">
        <v>11</v>
      </c>
    </row>
    <row r="36" spans="1:8" x14ac:dyDescent="0.35">
      <c r="A36" s="4">
        <v>35</v>
      </c>
      <c r="B36" s="2">
        <v>0</v>
      </c>
      <c r="C36" s="2" t="s">
        <v>10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11</v>
      </c>
    </row>
    <row r="37" spans="1:8" x14ac:dyDescent="0.35">
      <c r="A37" s="4">
        <v>36</v>
      </c>
      <c r="B37" s="2">
        <v>0</v>
      </c>
      <c r="C37" s="2" t="s">
        <v>10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 x14ac:dyDescent="0.35">
      <c r="A38" s="4">
        <v>37</v>
      </c>
      <c r="B38" s="2">
        <v>0</v>
      </c>
      <c r="C38" s="2" t="s">
        <v>10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</row>
    <row r="39" spans="1:8" x14ac:dyDescent="0.35">
      <c r="A39" s="4">
        <v>38</v>
      </c>
      <c r="B39" s="2">
        <v>0</v>
      </c>
      <c r="C39" s="2" t="s">
        <v>10</v>
      </c>
      <c r="D39" s="2" t="s">
        <v>11</v>
      </c>
      <c r="E39" s="2" t="s">
        <v>11</v>
      </c>
      <c r="F39" s="2" t="s">
        <v>11</v>
      </c>
      <c r="G39" s="2" t="s">
        <v>11</v>
      </c>
      <c r="H39" s="2" t="s">
        <v>11</v>
      </c>
    </row>
    <row r="40" spans="1:8" x14ac:dyDescent="0.35">
      <c r="A40" s="4">
        <v>39</v>
      </c>
      <c r="B40" s="2">
        <v>0</v>
      </c>
      <c r="C40" s="2" t="s">
        <v>10</v>
      </c>
      <c r="D40" s="2" t="s">
        <v>11</v>
      </c>
      <c r="E40" s="2" t="s">
        <v>11</v>
      </c>
      <c r="F40" s="2" t="s">
        <v>11</v>
      </c>
      <c r="G40" s="2" t="s">
        <v>11</v>
      </c>
      <c r="H40" s="2" t="s">
        <v>11</v>
      </c>
    </row>
    <row r="41" spans="1:8" x14ac:dyDescent="0.35">
      <c r="A41" s="4">
        <v>40</v>
      </c>
      <c r="B41" s="2">
        <v>0</v>
      </c>
      <c r="C41" s="2" t="s">
        <v>10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</row>
    <row r="42" spans="1:8" x14ac:dyDescent="0.35">
      <c r="A42" s="4">
        <v>41</v>
      </c>
      <c r="B42" s="2">
        <v>0</v>
      </c>
      <c r="C42" s="2" t="s">
        <v>10</v>
      </c>
      <c r="D42" s="2" t="s">
        <v>11</v>
      </c>
      <c r="E42" s="2" t="s">
        <v>11</v>
      </c>
      <c r="F42" s="2" t="s">
        <v>11</v>
      </c>
      <c r="G42" s="2" t="s">
        <v>11</v>
      </c>
      <c r="H42" s="2" t="s">
        <v>11</v>
      </c>
    </row>
    <row r="43" spans="1:8" x14ac:dyDescent="0.35">
      <c r="A43" s="4">
        <v>42</v>
      </c>
      <c r="B43" s="2">
        <v>0</v>
      </c>
      <c r="C43" s="2" t="s">
        <v>10</v>
      </c>
      <c r="D43" s="2" t="s">
        <v>11</v>
      </c>
      <c r="E43" s="2" t="s">
        <v>11</v>
      </c>
      <c r="F43" s="2" t="s">
        <v>11</v>
      </c>
      <c r="G43" s="2" t="s">
        <v>11</v>
      </c>
      <c r="H43" s="2" t="s">
        <v>11</v>
      </c>
    </row>
    <row r="44" spans="1:8" x14ac:dyDescent="0.35">
      <c r="A44" s="4">
        <v>43</v>
      </c>
      <c r="B44" s="2">
        <v>0</v>
      </c>
      <c r="C44" s="2" t="s">
        <v>10</v>
      </c>
      <c r="D44" s="2" t="s">
        <v>11</v>
      </c>
      <c r="E44" s="2" t="s">
        <v>11</v>
      </c>
      <c r="F44" s="2" t="s">
        <v>11</v>
      </c>
      <c r="G44" s="2" t="s">
        <v>11</v>
      </c>
      <c r="H44" s="2" t="s">
        <v>11</v>
      </c>
    </row>
    <row r="45" spans="1:8" x14ac:dyDescent="0.35">
      <c r="A45" s="4">
        <v>44</v>
      </c>
      <c r="B45" s="2">
        <v>0</v>
      </c>
      <c r="C45" s="2" t="s">
        <v>10</v>
      </c>
      <c r="D45" s="2" t="s">
        <v>11</v>
      </c>
      <c r="E45" s="2" t="s">
        <v>11</v>
      </c>
      <c r="F45" s="2" t="s">
        <v>11</v>
      </c>
      <c r="G45" s="2" t="s">
        <v>11</v>
      </c>
      <c r="H45" s="2" t="s">
        <v>11</v>
      </c>
    </row>
    <row r="46" spans="1:8" x14ac:dyDescent="0.35">
      <c r="A46" s="4">
        <v>45</v>
      </c>
      <c r="B46" s="2">
        <v>0</v>
      </c>
      <c r="C46" s="2" t="s">
        <v>10</v>
      </c>
      <c r="D46" s="2" t="s">
        <v>11</v>
      </c>
      <c r="E46" s="2" t="s">
        <v>11</v>
      </c>
      <c r="F46" s="2" t="s">
        <v>11</v>
      </c>
      <c r="G46" s="2" t="s">
        <v>11</v>
      </c>
      <c r="H46" s="2" t="s">
        <v>11</v>
      </c>
    </row>
    <row r="47" spans="1:8" x14ac:dyDescent="0.35">
      <c r="A47" s="4">
        <v>46</v>
      </c>
      <c r="B47" s="2">
        <v>0</v>
      </c>
      <c r="C47" s="2" t="s">
        <v>10</v>
      </c>
      <c r="D47" s="2" t="s">
        <v>11</v>
      </c>
      <c r="E47" s="2" t="s">
        <v>11</v>
      </c>
      <c r="F47" s="2" t="s">
        <v>11</v>
      </c>
      <c r="G47" s="2" t="s">
        <v>11</v>
      </c>
      <c r="H47" s="2" t="s">
        <v>11</v>
      </c>
    </row>
    <row r="48" spans="1:8" x14ac:dyDescent="0.35">
      <c r="A48" s="4">
        <v>47</v>
      </c>
      <c r="B48" s="2">
        <v>0</v>
      </c>
      <c r="C48" s="2" t="s">
        <v>10</v>
      </c>
      <c r="D48" s="2" t="s">
        <v>11</v>
      </c>
      <c r="E48" s="2" t="s">
        <v>11</v>
      </c>
      <c r="F48" s="2" t="s">
        <v>11</v>
      </c>
      <c r="G48" s="2" t="s">
        <v>11</v>
      </c>
      <c r="H48" s="2" t="s">
        <v>11</v>
      </c>
    </row>
    <row r="49" spans="1:8" x14ac:dyDescent="0.35">
      <c r="A49" s="4">
        <v>48</v>
      </c>
      <c r="B49" s="2">
        <v>0</v>
      </c>
      <c r="C49" s="2" t="s">
        <v>10</v>
      </c>
      <c r="D49" s="2" t="s">
        <v>11</v>
      </c>
      <c r="E49" s="2" t="s">
        <v>11</v>
      </c>
      <c r="F49" s="2" t="s">
        <v>11</v>
      </c>
      <c r="G49" s="2" t="s">
        <v>11</v>
      </c>
      <c r="H49" s="2" t="s">
        <v>11</v>
      </c>
    </row>
    <row r="50" spans="1:8" x14ac:dyDescent="0.35">
      <c r="A50" s="4"/>
      <c r="B50" s="2"/>
      <c r="C50" s="2"/>
      <c r="D50" s="2"/>
      <c r="E50" s="2"/>
      <c r="F50" s="2"/>
      <c r="G50" s="2"/>
      <c r="H50" s="2"/>
    </row>
    <row r="51" spans="1:8" x14ac:dyDescent="0.35">
      <c r="A51" s="4"/>
      <c r="B51" s="2"/>
      <c r="C51" s="2"/>
      <c r="D51" s="2"/>
      <c r="E51" s="2"/>
      <c r="F51" s="2"/>
      <c r="G51" s="2"/>
      <c r="H51" s="2"/>
    </row>
    <row r="52" spans="1:8" x14ac:dyDescent="0.35">
      <c r="A52" s="4"/>
      <c r="B52" s="2"/>
      <c r="C52" s="2"/>
      <c r="D52" s="2"/>
      <c r="E52" s="2"/>
      <c r="F52" s="2"/>
      <c r="G52" s="2"/>
      <c r="H52" s="2"/>
    </row>
    <row r="53" spans="1:8" x14ac:dyDescent="0.35">
      <c r="A53" s="4"/>
      <c r="B53" s="2"/>
      <c r="C53" s="2"/>
      <c r="D53" s="2"/>
      <c r="E53" s="2"/>
      <c r="F53" s="2"/>
      <c r="G53" s="2"/>
      <c r="H53" s="2"/>
    </row>
    <row r="54" spans="1:8" x14ac:dyDescent="0.35">
      <c r="A54" s="4"/>
      <c r="B54" s="2"/>
      <c r="C54" s="2"/>
      <c r="D54" s="2"/>
      <c r="E54" s="2"/>
      <c r="F54" s="2"/>
      <c r="G54" s="2"/>
      <c r="H54" s="2"/>
    </row>
    <row r="55" spans="1:8" x14ac:dyDescent="0.35">
      <c r="A55" s="4"/>
      <c r="B55" s="2"/>
      <c r="C55" s="2"/>
      <c r="D55" s="2"/>
      <c r="E55" s="2"/>
      <c r="F55" s="2"/>
      <c r="G55" s="2"/>
      <c r="H55" s="2"/>
    </row>
    <row r="56" spans="1:8" x14ac:dyDescent="0.35">
      <c r="A56" s="4"/>
      <c r="B56" s="2"/>
      <c r="C56" s="2"/>
      <c r="D56" s="2"/>
      <c r="E56" s="2"/>
      <c r="F56" s="2"/>
      <c r="G56" s="2"/>
      <c r="H56" s="2"/>
    </row>
    <row r="57" spans="1:8" x14ac:dyDescent="0.35">
      <c r="A57" s="4"/>
      <c r="B57" s="2"/>
      <c r="C57" s="2"/>
      <c r="D57" s="2"/>
      <c r="E57" s="2"/>
      <c r="F57" s="2"/>
      <c r="G57" s="2"/>
      <c r="H57" s="2"/>
    </row>
    <row r="58" spans="1:8" x14ac:dyDescent="0.35">
      <c r="A58" s="4"/>
      <c r="B58" s="2"/>
      <c r="C58" s="2"/>
      <c r="D58" s="2"/>
      <c r="E58" s="2"/>
      <c r="F58" s="2"/>
      <c r="G58" s="2"/>
      <c r="H58" s="2"/>
    </row>
    <row r="59" spans="1:8" x14ac:dyDescent="0.35">
      <c r="A59" s="4"/>
      <c r="B59" s="2"/>
      <c r="C59" s="2"/>
      <c r="D59" s="2"/>
      <c r="E59" s="2"/>
      <c r="F59" s="2"/>
      <c r="G59" s="2"/>
      <c r="H59" s="2"/>
    </row>
    <row r="60" spans="1:8" x14ac:dyDescent="0.35">
      <c r="A60" s="4"/>
      <c r="B60" s="2"/>
      <c r="C60" s="2"/>
      <c r="D60" s="2"/>
      <c r="E60" s="2"/>
      <c r="F60" s="2"/>
      <c r="G60" s="2"/>
      <c r="H60" s="2"/>
    </row>
    <row r="61" spans="1:8" x14ac:dyDescent="0.35">
      <c r="A61" s="4"/>
      <c r="B61" s="2"/>
      <c r="C61" s="2"/>
      <c r="D61" s="2"/>
      <c r="E61" s="2"/>
      <c r="F61" s="2"/>
      <c r="G61" s="2"/>
      <c r="H61" s="2"/>
    </row>
    <row r="62" spans="1:8" x14ac:dyDescent="0.35">
      <c r="A62" s="4"/>
      <c r="B62" s="2"/>
      <c r="C62" s="2"/>
      <c r="D62" s="2"/>
      <c r="E62" s="2"/>
      <c r="F62" s="2"/>
      <c r="G62" s="2"/>
      <c r="H62" s="2"/>
    </row>
    <row r="63" spans="1:8" x14ac:dyDescent="0.35">
      <c r="A63" s="4"/>
      <c r="B63" s="2"/>
      <c r="C63" s="2"/>
      <c r="D63" s="2"/>
      <c r="E63" s="2"/>
      <c r="F63" s="2"/>
      <c r="G63" s="2"/>
      <c r="H63" s="2"/>
    </row>
    <row r="64" spans="1:8" x14ac:dyDescent="0.35">
      <c r="A64" s="4"/>
      <c r="B64" s="2"/>
      <c r="C64" s="2"/>
      <c r="D64" s="2"/>
      <c r="E64" s="2"/>
      <c r="F64" s="2"/>
      <c r="G64" s="2"/>
      <c r="H64" s="2"/>
    </row>
    <row r="65" spans="1:8" x14ac:dyDescent="0.35">
      <c r="A65" s="4"/>
      <c r="B65" s="2"/>
      <c r="C65" s="2"/>
      <c r="D65" s="2"/>
      <c r="E65" s="2"/>
      <c r="F65" s="2"/>
      <c r="G65" s="2"/>
      <c r="H65" s="2"/>
    </row>
    <row r="66" spans="1:8" x14ac:dyDescent="0.35">
      <c r="A66" s="4"/>
      <c r="B66" s="2"/>
      <c r="C66" s="2"/>
      <c r="D66" s="2"/>
      <c r="E66" s="2"/>
      <c r="F66" s="2"/>
      <c r="G66" s="2"/>
      <c r="H66" s="2"/>
    </row>
    <row r="67" spans="1:8" x14ac:dyDescent="0.35">
      <c r="A67" s="4"/>
      <c r="B67" s="2"/>
      <c r="C67" s="2"/>
      <c r="D67" s="2"/>
      <c r="E67" s="2"/>
      <c r="F67" s="2"/>
      <c r="G67" s="2"/>
      <c r="H67" s="2"/>
    </row>
    <row r="68" spans="1:8" x14ac:dyDescent="0.35">
      <c r="A68" s="4"/>
      <c r="B68" s="2"/>
      <c r="C68" s="2"/>
      <c r="D68" s="2"/>
      <c r="E68" s="2"/>
      <c r="F68" s="2"/>
      <c r="G68" s="2"/>
      <c r="H68" s="2"/>
    </row>
    <row r="69" spans="1:8" x14ac:dyDescent="0.35">
      <c r="A69" s="4"/>
      <c r="B69" s="2"/>
      <c r="C69" s="2"/>
      <c r="D69" s="2"/>
      <c r="E69" s="2"/>
      <c r="F69" s="2"/>
      <c r="G69" s="2"/>
      <c r="H69" s="2"/>
    </row>
    <row r="70" spans="1:8" x14ac:dyDescent="0.35">
      <c r="A70" s="4"/>
      <c r="B70" s="2"/>
      <c r="C70" s="2"/>
      <c r="D70" s="2"/>
      <c r="E70" s="2"/>
      <c r="F70" s="2"/>
      <c r="G70" s="2"/>
      <c r="H70" s="2"/>
    </row>
    <row r="71" spans="1:8" x14ac:dyDescent="0.35">
      <c r="A71" s="4"/>
      <c r="B71" s="2"/>
      <c r="C71" s="2"/>
      <c r="D71" s="2"/>
      <c r="E71" s="2"/>
      <c r="F71" s="2"/>
      <c r="G71" s="2"/>
      <c r="H71" s="2"/>
    </row>
    <row r="72" spans="1:8" x14ac:dyDescent="0.35">
      <c r="A72" s="4"/>
      <c r="B72" s="2"/>
      <c r="C72" s="2"/>
      <c r="D72" s="2"/>
      <c r="E72" s="2"/>
      <c r="F72" s="2"/>
      <c r="G72" s="2"/>
      <c r="H72" s="2"/>
    </row>
    <row r="73" spans="1:8" x14ac:dyDescent="0.35">
      <c r="A73" s="4"/>
      <c r="B73" s="2"/>
      <c r="C73" s="2"/>
      <c r="D73" s="2"/>
      <c r="E73" s="2"/>
      <c r="F73" s="2"/>
      <c r="G73" s="2"/>
      <c r="H73" s="2"/>
    </row>
    <row r="74" spans="1:8" x14ac:dyDescent="0.35">
      <c r="A74" s="4"/>
      <c r="B74" s="2"/>
      <c r="C74" s="2"/>
      <c r="D74" s="2"/>
      <c r="E74" s="2"/>
      <c r="F74" s="2"/>
      <c r="G74" s="2"/>
      <c r="H74" s="2"/>
    </row>
    <row r="75" spans="1:8" x14ac:dyDescent="0.35">
      <c r="A75" s="4"/>
      <c r="B75" s="2"/>
      <c r="C75" s="2"/>
      <c r="D75" s="2"/>
      <c r="E75" s="2"/>
      <c r="F75" s="2"/>
      <c r="G75" s="2"/>
      <c r="H75" s="2"/>
    </row>
    <row r="76" spans="1:8" x14ac:dyDescent="0.35">
      <c r="A76" s="4"/>
      <c r="B76" s="2"/>
      <c r="C76" s="2"/>
      <c r="D76" s="2"/>
      <c r="E76" s="2"/>
      <c r="F76" s="2"/>
      <c r="G76" s="2"/>
      <c r="H76" s="2"/>
    </row>
    <row r="77" spans="1:8" x14ac:dyDescent="0.35">
      <c r="A77" s="4"/>
      <c r="B77" s="2"/>
      <c r="C77" s="2"/>
      <c r="D77" s="2"/>
      <c r="E77" s="2"/>
      <c r="F77" s="2"/>
      <c r="G77" s="2"/>
      <c r="H77" s="2"/>
    </row>
    <row r="78" spans="1:8" x14ac:dyDescent="0.35">
      <c r="A78" s="4"/>
      <c r="B78" s="2"/>
      <c r="C78" s="2"/>
      <c r="D78" s="2"/>
      <c r="E78" s="2"/>
      <c r="F78" s="2"/>
      <c r="G78" s="2"/>
      <c r="H78" s="2"/>
    </row>
  </sheetData>
  <conditionalFormatting sqref="C2:C78">
    <cfRule type="cellIs" dxfId="23" priority="1" operator="equal">
      <formula>"N"</formula>
    </cfRule>
    <cfRule type="cellIs" dxfId="22" priority="2" operator="equal">
      <formula>"P"</formula>
    </cfRule>
  </conditionalFormatting>
  <conditionalFormatting sqref="K1 D1:H78 K3 I18">
    <cfRule type="cellIs" dxfId="21" priority="3" operator="equal">
      <formula>"N"</formula>
    </cfRule>
    <cfRule type="cellIs" dxfId="20" priority="4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4F5D-C334-420F-985A-AE99A4E08524}">
  <dimension ref="A1:L78"/>
  <sheetViews>
    <sheetView tabSelected="1" zoomScale="85" zoomScaleNormal="85" workbookViewId="0">
      <selection activeCell="I14" sqref="I14"/>
    </sheetView>
  </sheetViews>
  <sheetFormatPr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0.81640625" bestFit="1" customWidth="1"/>
    <col min="10" max="10" width="17.90625" bestFit="1" customWidth="1"/>
    <col min="11" max="11" width="20.26953125" bestFit="1" customWidth="1"/>
    <col min="12" max="12" width="12" bestFit="1" customWidth="1"/>
  </cols>
  <sheetData>
    <row r="1" spans="1:12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K1" s="2" t="s">
        <v>13</v>
      </c>
      <c r="L1">
        <f>(COUNTIF(D2:H38,"p"))/(37*5)</f>
        <v>0.98918918918918919</v>
      </c>
    </row>
    <row r="2" spans="1:12" x14ac:dyDescent="0.35">
      <c r="A2" s="4">
        <v>1</v>
      </c>
      <c r="B2" s="2">
        <v>1000</v>
      </c>
      <c r="C2" s="2" t="s">
        <v>3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12" x14ac:dyDescent="0.35">
      <c r="A3" s="4">
        <v>2</v>
      </c>
      <c r="B3" s="2">
        <v>1000</v>
      </c>
      <c r="C3" s="2" t="s">
        <v>3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12" x14ac:dyDescent="0.35">
      <c r="A4" s="4">
        <v>3</v>
      </c>
      <c r="B4" s="2">
        <v>1000</v>
      </c>
      <c r="C4" s="2" t="s">
        <v>3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12" x14ac:dyDescent="0.35">
      <c r="A5" s="4">
        <v>4</v>
      </c>
      <c r="B5" s="2">
        <v>1000</v>
      </c>
      <c r="C5" s="2" t="s">
        <v>3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12" x14ac:dyDescent="0.35">
      <c r="A6" s="4">
        <v>5</v>
      </c>
      <c r="B6" s="2">
        <v>1000</v>
      </c>
      <c r="C6" s="2" t="s">
        <v>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12" x14ac:dyDescent="0.35">
      <c r="A7" s="4">
        <v>6</v>
      </c>
      <c r="B7" s="2">
        <v>1000</v>
      </c>
      <c r="C7" s="2" t="s">
        <v>3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12" x14ac:dyDescent="0.35">
      <c r="A8" s="4">
        <v>7</v>
      </c>
      <c r="B8" s="2">
        <v>1000</v>
      </c>
      <c r="C8" s="2" t="s">
        <v>3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12" x14ac:dyDescent="0.35">
      <c r="A9" s="4">
        <v>8</v>
      </c>
      <c r="B9" s="2">
        <v>1000</v>
      </c>
      <c r="C9" s="2" t="s">
        <v>3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 spans="1:12" x14ac:dyDescent="0.35">
      <c r="A10" s="4">
        <v>9</v>
      </c>
      <c r="B10" s="2">
        <v>1000</v>
      </c>
      <c r="C10" s="2" t="s">
        <v>3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 spans="1:12" x14ac:dyDescent="0.35">
      <c r="A11" s="4">
        <v>10</v>
      </c>
      <c r="B11" s="2">
        <v>1000</v>
      </c>
      <c r="C11" s="2" t="s">
        <v>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</row>
    <row r="12" spans="1:12" x14ac:dyDescent="0.35">
      <c r="A12" s="4">
        <v>11</v>
      </c>
      <c r="B12" s="2">
        <v>1000</v>
      </c>
      <c r="C12" s="2" t="s">
        <v>3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</row>
    <row r="13" spans="1:12" x14ac:dyDescent="0.35">
      <c r="A13" s="4">
        <v>12</v>
      </c>
      <c r="B13" s="2">
        <v>1000</v>
      </c>
      <c r="C13" s="2" t="s">
        <v>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 spans="1:12" x14ac:dyDescent="0.35">
      <c r="A14" s="4">
        <v>13</v>
      </c>
      <c r="B14" s="2">
        <v>1000</v>
      </c>
      <c r="C14" s="2" t="s">
        <v>3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</row>
    <row r="15" spans="1:12" x14ac:dyDescent="0.35">
      <c r="A15" s="4">
        <v>14</v>
      </c>
      <c r="B15" s="2">
        <v>1000</v>
      </c>
      <c r="C15" s="2" t="s">
        <v>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</row>
    <row r="16" spans="1:12" x14ac:dyDescent="0.35">
      <c r="A16" s="5">
        <v>15</v>
      </c>
      <c r="B16" s="6">
        <v>1000</v>
      </c>
      <c r="C16" s="6" t="s">
        <v>3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</row>
    <row r="17" spans="1:9" x14ac:dyDescent="0.35">
      <c r="A17" s="4">
        <v>16</v>
      </c>
      <c r="B17" s="2">
        <v>500</v>
      </c>
      <c r="C17" s="2" t="s">
        <v>3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</row>
    <row r="18" spans="1:9" x14ac:dyDescent="0.35">
      <c r="A18" s="4">
        <v>17</v>
      </c>
      <c r="B18" s="2">
        <v>500</v>
      </c>
      <c r="C18" s="2" t="s">
        <v>3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</row>
    <row r="19" spans="1:9" x14ac:dyDescent="0.35">
      <c r="A19" s="4">
        <v>18</v>
      </c>
      <c r="B19" s="2">
        <v>500</v>
      </c>
      <c r="C19" s="2" t="s">
        <v>3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11</v>
      </c>
    </row>
    <row r="20" spans="1:9" x14ac:dyDescent="0.35">
      <c r="A20" s="4">
        <v>19</v>
      </c>
      <c r="B20" s="2">
        <v>500</v>
      </c>
      <c r="C20" s="2" t="s">
        <v>3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spans="1:9" x14ac:dyDescent="0.35">
      <c r="A21" s="4">
        <v>20</v>
      </c>
      <c r="B21" s="2">
        <v>500</v>
      </c>
      <c r="C21" s="2" t="s">
        <v>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</row>
    <row r="22" spans="1:9" x14ac:dyDescent="0.35">
      <c r="A22" s="4">
        <v>21</v>
      </c>
      <c r="B22" s="2">
        <v>500</v>
      </c>
      <c r="C22" s="2" t="s">
        <v>3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</row>
    <row r="23" spans="1:9" x14ac:dyDescent="0.35">
      <c r="A23" s="4">
        <v>22</v>
      </c>
      <c r="B23" s="2">
        <v>500</v>
      </c>
      <c r="C23" s="2" t="s">
        <v>3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spans="1:9" x14ac:dyDescent="0.35">
      <c r="A24" s="4">
        <v>23</v>
      </c>
      <c r="B24" s="2">
        <v>500</v>
      </c>
      <c r="C24" s="2" t="s">
        <v>3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spans="1:9" x14ac:dyDescent="0.35">
      <c r="A25" s="4">
        <v>24</v>
      </c>
      <c r="B25" s="2">
        <v>500</v>
      </c>
      <c r="C25" s="2" t="s">
        <v>3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</row>
    <row r="26" spans="1:9" x14ac:dyDescent="0.35">
      <c r="A26" s="4">
        <v>25</v>
      </c>
      <c r="B26" s="2">
        <v>500</v>
      </c>
      <c r="C26" s="2" t="s">
        <v>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</row>
    <row r="27" spans="1:9" x14ac:dyDescent="0.35">
      <c r="A27" s="4">
        <v>26</v>
      </c>
      <c r="B27" s="2">
        <v>500</v>
      </c>
      <c r="C27" s="2" t="s">
        <v>3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/>
    </row>
    <row r="28" spans="1:9" x14ac:dyDescent="0.35">
      <c r="A28" s="5">
        <v>27</v>
      </c>
      <c r="B28" s="6">
        <v>500</v>
      </c>
      <c r="C28" s="6" t="s">
        <v>3</v>
      </c>
      <c r="D28" s="6" t="s">
        <v>9</v>
      </c>
      <c r="E28" s="6" t="s">
        <v>9</v>
      </c>
      <c r="F28" s="6" t="s">
        <v>9</v>
      </c>
      <c r="G28" s="6" t="s">
        <v>9</v>
      </c>
      <c r="H28" s="6" t="s">
        <v>9</v>
      </c>
    </row>
    <row r="29" spans="1:9" x14ac:dyDescent="0.35">
      <c r="A29" s="4">
        <v>28</v>
      </c>
      <c r="B29" s="2">
        <v>250</v>
      </c>
      <c r="C29" s="2" t="s">
        <v>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9" x14ac:dyDescent="0.35">
      <c r="A30" s="4">
        <v>29</v>
      </c>
      <c r="B30" s="2">
        <v>250</v>
      </c>
      <c r="C30" s="2" t="s">
        <v>3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spans="1:9" x14ac:dyDescent="0.35">
      <c r="A31" s="4">
        <v>30</v>
      </c>
      <c r="B31" s="2">
        <v>250</v>
      </c>
      <c r="C31" s="2" t="s">
        <v>3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spans="1:9" x14ac:dyDescent="0.35">
      <c r="A32" s="4">
        <v>31</v>
      </c>
      <c r="B32" s="2">
        <v>250</v>
      </c>
      <c r="C32" s="2" t="s">
        <v>3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12" x14ac:dyDescent="0.35">
      <c r="A33" s="4">
        <v>32</v>
      </c>
      <c r="B33" s="2">
        <v>250</v>
      </c>
      <c r="C33" s="2" t="s">
        <v>3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12" x14ac:dyDescent="0.35">
      <c r="A34" s="4">
        <v>33</v>
      </c>
      <c r="B34" s="2">
        <v>250</v>
      </c>
      <c r="C34" s="2" t="s">
        <v>3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11</v>
      </c>
    </row>
    <row r="35" spans="1:12" x14ac:dyDescent="0.35">
      <c r="A35" s="4">
        <v>34</v>
      </c>
      <c r="B35" s="2">
        <v>250</v>
      </c>
      <c r="C35" s="2" t="s">
        <v>3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</row>
    <row r="36" spans="1:12" x14ac:dyDescent="0.35">
      <c r="A36" s="4">
        <v>35</v>
      </c>
      <c r="B36" s="2">
        <v>250</v>
      </c>
      <c r="C36" s="2" t="s">
        <v>3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12" x14ac:dyDescent="0.35">
      <c r="A37" s="4">
        <v>36</v>
      </c>
      <c r="B37" s="2">
        <v>250</v>
      </c>
      <c r="C37" s="2" t="s">
        <v>3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spans="1:12" x14ac:dyDescent="0.35">
      <c r="A38" s="5">
        <v>37</v>
      </c>
      <c r="B38" s="6">
        <v>250</v>
      </c>
      <c r="C38" s="6" t="s">
        <v>3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  <c r="K38" s="2" t="s">
        <v>18</v>
      </c>
      <c r="L38" s="9">
        <f>(COUNTIF(D2:H38,"p"))/((COUNTIF(D2:H38,"p")+(COUNTIF(D2:H38,"n"))))</f>
        <v>0.98918918918918919</v>
      </c>
    </row>
    <row r="39" spans="1:12" x14ac:dyDescent="0.35">
      <c r="A39" s="4">
        <v>38</v>
      </c>
      <c r="B39" s="2">
        <v>125</v>
      </c>
      <c r="C39" s="2" t="s">
        <v>3</v>
      </c>
      <c r="D39" s="2" t="s">
        <v>9</v>
      </c>
      <c r="E39" s="2" t="s">
        <v>9</v>
      </c>
      <c r="F39" s="2" t="s">
        <v>11</v>
      </c>
      <c r="G39" s="2" t="s">
        <v>11</v>
      </c>
      <c r="H39" s="2" t="s">
        <v>9</v>
      </c>
      <c r="K39" s="2" t="s">
        <v>17</v>
      </c>
      <c r="L39" s="9">
        <f>(COUNTIF(D2:H48,"p"))/((COUNTIF(D2:H48,"p"))+(COUNTIF(D2:H48,"n")))</f>
        <v>0.93617021276595747</v>
      </c>
    </row>
    <row r="40" spans="1:12" x14ac:dyDescent="0.35">
      <c r="A40" s="4">
        <v>39</v>
      </c>
      <c r="B40" s="2">
        <v>125</v>
      </c>
      <c r="C40" s="2" t="s">
        <v>3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9</v>
      </c>
    </row>
    <row r="41" spans="1:12" x14ac:dyDescent="0.35">
      <c r="A41" s="4">
        <v>40</v>
      </c>
      <c r="B41" s="2">
        <v>125</v>
      </c>
      <c r="C41" s="2" t="s">
        <v>3</v>
      </c>
      <c r="D41" s="2" t="s">
        <v>11</v>
      </c>
      <c r="E41" s="2" t="s">
        <v>9</v>
      </c>
      <c r="F41" s="2" t="s">
        <v>9</v>
      </c>
      <c r="G41" s="2" t="s">
        <v>9</v>
      </c>
      <c r="H41" s="2" t="s">
        <v>11</v>
      </c>
      <c r="J41" s="2" t="s">
        <v>16</v>
      </c>
      <c r="K41">
        <f>(COUNTIF(D39:H48,"p"))/50</f>
        <v>0.74</v>
      </c>
    </row>
    <row r="42" spans="1:12" x14ac:dyDescent="0.35">
      <c r="A42" s="4">
        <v>41</v>
      </c>
      <c r="B42" s="2">
        <v>125</v>
      </c>
      <c r="C42" s="2" t="s">
        <v>3</v>
      </c>
      <c r="D42" s="2" t="s">
        <v>9</v>
      </c>
      <c r="E42" s="2" t="s">
        <v>11</v>
      </c>
      <c r="F42" s="2" t="s">
        <v>9</v>
      </c>
      <c r="G42" s="2" t="s">
        <v>9</v>
      </c>
      <c r="H42" s="2" t="s">
        <v>9</v>
      </c>
    </row>
    <row r="43" spans="1:12" x14ac:dyDescent="0.35">
      <c r="A43" s="4">
        <v>42</v>
      </c>
      <c r="B43" s="2">
        <v>125</v>
      </c>
      <c r="C43" s="2" t="s">
        <v>3</v>
      </c>
      <c r="D43" s="2" t="s">
        <v>11</v>
      </c>
      <c r="E43" s="2" t="s">
        <v>9</v>
      </c>
      <c r="F43" s="2" t="s">
        <v>11</v>
      </c>
      <c r="G43" s="2" t="s">
        <v>9</v>
      </c>
      <c r="H43" s="2" t="s">
        <v>11</v>
      </c>
    </row>
    <row r="44" spans="1:12" x14ac:dyDescent="0.35">
      <c r="A44" s="4">
        <v>43</v>
      </c>
      <c r="B44" s="2">
        <v>125</v>
      </c>
      <c r="C44" s="2" t="s">
        <v>3</v>
      </c>
      <c r="D44" s="2" t="s">
        <v>9</v>
      </c>
      <c r="E44" s="2" t="s">
        <v>9</v>
      </c>
      <c r="F44" s="2" t="s">
        <v>11</v>
      </c>
      <c r="G44" s="2" t="s">
        <v>9</v>
      </c>
      <c r="H44" s="2" t="s">
        <v>11</v>
      </c>
    </row>
    <row r="45" spans="1:12" x14ac:dyDescent="0.35">
      <c r="A45" s="4">
        <v>44</v>
      </c>
      <c r="B45" s="2">
        <v>125</v>
      </c>
      <c r="C45" s="2" t="s">
        <v>3</v>
      </c>
      <c r="D45" s="2" t="s">
        <v>11</v>
      </c>
      <c r="E45" s="2" t="s">
        <v>9</v>
      </c>
      <c r="F45" s="2" t="s">
        <v>11</v>
      </c>
      <c r="G45" s="2" t="s">
        <v>9</v>
      </c>
      <c r="H45" s="2" t="s">
        <v>9</v>
      </c>
      <c r="K45" s="2" t="s">
        <v>20</v>
      </c>
      <c r="L45" s="9">
        <f>(COUNTIF(D2:H38,"p"))/((COUNTIF(D2:H38,"p")+13))</f>
        <v>0.93367346938775508</v>
      </c>
    </row>
    <row r="46" spans="1:12" x14ac:dyDescent="0.35">
      <c r="A46" s="4">
        <v>45</v>
      </c>
      <c r="B46" s="2">
        <v>125</v>
      </c>
      <c r="C46" s="2" t="s">
        <v>3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9</v>
      </c>
      <c r="K46" s="2" t="s">
        <v>21</v>
      </c>
      <c r="L46" s="9">
        <f>(COUNTIF(D2:H48,"p"))/((COUNTIF(D2:H48,"p"))+13)</f>
        <v>0.94420600858369097</v>
      </c>
    </row>
    <row r="47" spans="1:12" x14ac:dyDescent="0.35">
      <c r="A47" s="4">
        <v>46</v>
      </c>
      <c r="B47" s="2">
        <v>125</v>
      </c>
      <c r="C47" s="2" t="s">
        <v>3</v>
      </c>
      <c r="D47" s="2" t="s">
        <v>11</v>
      </c>
      <c r="E47" s="2" t="s">
        <v>9</v>
      </c>
      <c r="F47" s="2" t="s">
        <v>9</v>
      </c>
      <c r="G47" s="2" t="s">
        <v>9</v>
      </c>
      <c r="H47" s="2" t="s">
        <v>9</v>
      </c>
    </row>
    <row r="48" spans="1:12" x14ac:dyDescent="0.35">
      <c r="A48" s="5">
        <v>47</v>
      </c>
      <c r="B48" s="6">
        <v>125</v>
      </c>
      <c r="C48" s="6" t="s">
        <v>3</v>
      </c>
      <c r="D48" s="6" t="s">
        <v>9</v>
      </c>
      <c r="E48" s="6" t="s">
        <v>9</v>
      </c>
      <c r="F48" s="6" t="s">
        <v>9</v>
      </c>
      <c r="G48" s="6" t="s">
        <v>9</v>
      </c>
      <c r="H48" s="6" t="s">
        <v>9</v>
      </c>
    </row>
    <row r="49" spans="1:8" x14ac:dyDescent="0.35">
      <c r="A49" s="4">
        <v>48</v>
      </c>
      <c r="B49" s="2">
        <v>63</v>
      </c>
      <c r="C49" s="2" t="s">
        <v>3</v>
      </c>
      <c r="D49" s="10" t="s">
        <v>19</v>
      </c>
      <c r="E49" s="10"/>
      <c r="F49" s="10"/>
      <c r="G49" s="10"/>
      <c r="H49" s="10"/>
    </row>
    <row r="50" spans="1:8" x14ac:dyDescent="0.35">
      <c r="A50" s="4">
        <v>49</v>
      </c>
      <c r="B50" s="2">
        <v>63</v>
      </c>
      <c r="C50" s="2" t="s">
        <v>3</v>
      </c>
      <c r="D50" s="2"/>
      <c r="E50" s="2"/>
      <c r="F50" s="2"/>
      <c r="G50" s="2"/>
      <c r="H50" s="2"/>
    </row>
    <row r="51" spans="1:8" x14ac:dyDescent="0.35">
      <c r="A51" s="4">
        <v>50</v>
      </c>
      <c r="B51" s="2">
        <v>63</v>
      </c>
      <c r="C51" s="2" t="s">
        <v>3</v>
      </c>
      <c r="D51" s="2"/>
      <c r="E51" s="2"/>
      <c r="F51" s="2"/>
      <c r="G51" s="2"/>
      <c r="H51" s="2"/>
    </row>
    <row r="52" spans="1:8" x14ac:dyDescent="0.35">
      <c r="A52" s="4">
        <v>51</v>
      </c>
      <c r="B52" s="2">
        <v>63</v>
      </c>
      <c r="C52" s="2" t="s">
        <v>3</v>
      </c>
      <c r="D52" s="2"/>
      <c r="E52" s="2"/>
      <c r="F52" s="2"/>
      <c r="G52" s="2"/>
      <c r="H52" s="2"/>
    </row>
    <row r="53" spans="1:8" x14ac:dyDescent="0.35">
      <c r="A53" s="4">
        <v>52</v>
      </c>
      <c r="B53" s="2">
        <v>63</v>
      </c>
      <c r="C53" s="2" t="s">
        <v>3</v>
      </c>
      <c r="D53" s="2"/>
      <c r="E53" s="2"/>
      <c r="F53" s="2"/>
      <c r="G53" s="2"/>
      <c r="H53" s="2"/>
    </row>
    <row r="54" spans="1:8" x14ac:dyDescent="0.35">
      <c r="A54" s="4">
        <v>53</v>
      </c>
      <c r="B54" s="2">
        <v>63</v>
      </c>
      <c r="C54" s="2" t="s">
        <v>3</v>
      </c>
      <c r="D54" s="2"/>
      <c r="E54" s="2"/>
      <c r="F54" s="2"/>
      <c r="G54" s="2"/>
      <c r="H54" s="2"/>
    </row>
    <row r="55" spans="1:8" x14ac:dyDescent="0.35">
      <c r="A55" s="4">
        <v>54</v>
      </c>
      <c r="B55" s="2">
        <v>63</v>
      </c>
      <c r="C55" s="2" t="s">
        <v>3</v>
      </c>
      <c r="D55" s="2"/>
      <c r="E55" s="2"/>
      <c r="F55" s="2"/>
      <c r="G55" s="2"/>
      <c r="H55" s="2"/>
    </row>
    <row r="56" spans="1:8" x14ac:dyDescent="0.35">
      <c r="A56" s="4">
        <v>55</v>
      </c>
      <c r="B56" s="2">
        <v>63</v>
      </c>
      <c r="C56" s="2" t="s">
        <v>3</v>
      </c>
      <c r="D56" s="2"/>
      <c r="E56" s="2"/>
      <c r="F56" s="2"/>
      <c r="G56" s="2"/>
      <c r="H56" s="2"/>
    </row>
    <row r="57" spans="1:8" x14ac:dyDescent="0.35">
      <c r="A57" s="4">
        <v>56</v>
      </c>
      <c r="B57" s="2">
        <v>63</v>
      </c>
      <c r="C57" s="2" t="s">
        <v>3</v>
      </c>
      <c r="D57" s="2"/>
      <c r="E57" s="2"/>
      <c r="F57" s="2"/>
      <c r="G57" s="2"/>
      <c r="H57" s="2"/>
    </row>
    <row r="58" spans="1:8" x14ac:dyDescent="0.35">
      <c r="A58" s="5">
        <v>57</v>
      </c>
      <c r="B58" s="6">
        <v>63</v>
      </c>
      <c r="C58" s="6" t="s">
        <v>3</v>
      </c>
      <c r="D58" s="6"/>
      <c r="E58" s="6"/>
      <c r="F58" s="6"/>
      <c r="G58" s="6"/>
      <c r="H58" s="6"/>
    </row>
    <row r="59" spans="1:8" x14ac:dyDescent="0.35">
      <c r="A59" s="4">
        <v>58</v>
      </c>
      <c r="B59" s="2">
        <v>31</v>
      </c>
      <c r="C59" s="2" t="s">
        <v>3</v>
      </c>
      <c r="D59" s="2"/>
      <c r="E59" s="2"/>
      <c r="F59" s="2"/>
      <c r="G59" s="2"/>
      <c r="H59" s="2"/>
    </row>
    <row r="60" spans="1:8" x14ac:dyDescent="0.35">
      <c r="A60" s="4">
        <v>59</v>
      </c>
      <c r="B60" s="2">
        <v>31</v>
      </c>
      <c r="C60" s="2" t="s">
        <v>3</v>
      </c>
      <c r="D60" s="2"/>
      <c r="E60" s="2"/>
      <c r="F60" s="2"/>
      <c r="G60" s="2"/>
      <c r="H60" s="2"/>
    </row>
    <row r="61" spans="1:8" x14ac:dyDescent="0.35">
      <c r="A61" s="4">
        <v>60</v>
      </c>
      <c r="B61" s="2">
        <v>31</v>
      </c>
      <c r="C61" s="2" t="s">
        <v>3</v>
      </c>
      <c r="D61" s="2"/>
      <c r="E61" s="2"/>
      <c r="F61" s="2"/>
      <c r="G61" s="2"/>
      <c r="H61" s="2"/>
    </row>
    <row r="62" spans="1:8" x14ac:dyDescent="0.35">
      <c r="A62" s="4">
        <v>61</v>
      </c>
      <c r="B62" s="2">
        <v>31</v>
      </c>
      <c r="C62" s="2" t="s">
        <v>3</v>
      </c>
      <c r="D62" s="2"/>
      <c r="E62" s="2"/>
      <c r="F62" s="2"/>
      <c r="G62" s="2"/>
      <c r="H62" s="2"/>
    </row>
    <row r="63" spans="1:8" x14ac:dyDescent="0.35">
      <c r="A63" s="4">
        <v>62</v>
      </c>
      <c r="B63" s="2">
        <v>31</v>
      </c>
      <c r="C63" s="2" t="s">
        <v>3</v>
      </c>
      <c r="D63" s="2"/>
      <c r="E63" s="2"/>
      <c r="F63" s="2"/>
      <c r="G63" s="2"/>
      <c r="H63" s="2"/>
    </row>
    <row r="64" spans="1:8" x14ac:dyDescent="0.35">
      <c r="A64" s="4">
        <v>63</v>
      </c>
      <c r="B64" s="2">
        <v>31</v>
      </c>
      <c r="C64" s="2" t="s">
        <v>3</v>
      </c>
      <c r="D64" s="2"/>
      <c r="E64" s="2"/>
      <c r="F64" s="2"/>
      <c r="G64" s="2"/>
      <c r="H64" s="2"/>
    </row>
    <row r="65" spans="1:8" x14ac:dyDescent="0.35">
      <c r="A65" s="4">
        <v>64</v>
      </c>
      <c r="B65" s="2">
        <v>31</v>
      </c>
      <c r="C65" s="2" t="s">
        <v>3</v>
      </c>
      <c r="D65" s="2"/>
      <c r="E65" s="2"/>
      <c r="F65" s="2"/>
      <c r="G65" s="2"/>
      <c r="H65" s="2"/>
    </row>
    <row r="66" spans="1:8" x14ac:dyDescent="0.35">
      <c r="A66" s="4">
        <v>65</v>
      </c>
      <c r="B66" s="2">
        <v>31</v>
      </c>
      <c r="C66" s="2" t="s">
        <v>3</v>
      </c>
      <c r="D66" s="2"/>
      <c r="E66" s="2"/>
      <c r="F66" s="2"/>
      <c r="G66" s="2"/>
      <c r="H66" s="2"/>
    </row>
    <row r="67" spans="1:8" x14ac:dyDescent="0.35">
      <c r="A67" s="4">
        <v>66</v>
      </c>
      <c r="B67" s="2">
        <v>31</v>
      </c>
      <c r="C67" s="2" t="s">
        <v>3</v>
      </c>
      <c r="D67" s="2"/>
      <c r="E67" s="2"/>
      <c r="F67" s="2"/>
      <c r="G67" s="2"/>
      <c r="H67" s="2"/>
    </row>
    <row r="68" spans="1:8" x14ac:dyDescent="0.35">
      <c r="A68" s="5">
        <v>67</v>
      </c>
      <c r="B68" s="6">
        <v>31</v>
      </c>
      <c r="C68" s="6" t="s">
        <v>3</v>
      </c>
      <c r="D68" s="6"/>
      <c r="E68" s="6"/>
      <c r="F68" s="6"/>
      <c r="G68" s="6"/>
      <c r="H68" s="6"/>
    </row>
    <row r="69" spans="1:8" x14ac:dyDescent="0.35">
      <c r="A69" s="4">
        <v>68</v>
      </c>
      <c r="B69" s="2">
        <v>16</v>
      </c>
      <c r="C69" s="2" t="s">
        <v>3</v>
      </c>
      <c r="D69" s="2"/>
      <c r="E69" s="2"/>
      <c r="F69" s="2"/>
      <c r="G69" s="2"/>
      <c r="H69" s="2"/>
    </row>
    <row r="70" spans="1:8" x14ac:dyDescent="0.35">
      <c r="A70" s="4">
        <v>69</v>
      </c>
      <c r="B70" s="2">
        <v>16</v>
      </c>
      <c r="C70" s="2" t="s">
        <v>3</v>
      </c>
      <c r="D70" s="2"/>
      <c r="E70" s="2"/>
      <c r="F70" s="2"/>
      <c r="G70" s="2"/>
      <c r="H70" s="2"/>
    </row>
    <row r="71" spans="1:8" x14ac:dyDescent="0.35">
      <c r="A71" s="4">
        <v>70</v>
      </c>
      <c r="B71" s="2">
        <v>16</v>
      </c>
      <c r="C71" s="2" t="s">
        <v>3</v>
      </c>
      <c r="D71" s="2"/>
      <c r="E71" s="2"/>
      <c r="F71" s="2"/>
      <c r="G71" s="2"/>
      <c r="H71" s="2"/>
    </row>
    <row r="72" spans="1:8" x14ac:dyDescent="0.35">
      <c r="A72" s="4">
        <v>71</v>
      </c>
      <c r="B72" s="2">
        <v>16</v>
      </c>
      <c r="C72" s="2" t="s">
        <v>3</v>
      </c>
      <c r="D72" s="2"/>
      <c r="E72" s="2"/>
      <c r="F72" s="2"/>
      <c r="G72" s="2"/>
      <c r="H72" s="2"/>
    </row>
    <row r="73" spans="1:8" x14ac:dyDescent="0.35">
      <c r="A73" s="4">
        <v>72</v>
      </c>
      <c r="B73" s="2">
        <v>16</v>
      </c>
      <c r="C73" s="2" t="s">
        <v>3</v>
      </c>
      <c r="D73" s="2"/>
      <c r="E73" s="2"/>
      <c r="F73" s="2"/>
      <c r="G73" s="2"/>
      <c r="H73" s="2"/>
    </row>
    <row r="74" spans="1:8" x14ac:dyDescent="0.35">
      <c r="A74" s="4">
        <v>73</v>
      </c>
      <c r="B74" s="2">
        <v>16</v>
      </c>
      <c r="C74" s="2" t="s">
        <v>3</v>
      </c>
      <c r="D74" s="2"/>
      <c r="E74" s="2"/>
      <c r="F74" s="2"/>
      <c r="G74" s="2"/>
      <c r="H74" s="2"/>
    </row>
    <row r="75" spans="1:8" x14ac:dyDescent="0.35">
      <c r="A75" s="4">
        <v>74</v>
      </c>
      <c r="B75" s="2">
        <v>16</v>
      </c>
      <c r="C75" s="2" t="s">
        <v>3</v>
      </c>
      <c r="D75" s="2"/>
      <c r="E75" s="2"/>
      <c r="F75" s="2"/>
      <c r="G75" s="2"/>
      <c r="H75" s="2"/>
    </row>
    <row r="76" spans="1:8" x14ac:dyDescent="0.35">
      <c r="A76" s="4">
        <v>75</v>
      </c>
      <c r="B76" s="2">
        <v>16</v>
      </c>
      <c r="C76" s="2" t="s">
        <v>3</v>
      </c>
      <c r="D76" s="2"/>
      <c r="E76" s="2"/>
      <c r="F76" s="2"/>
      <c r="G76" s="2"/>
      <c r="H76" s="2"/>
    </row>
    <row r="77" spans="1:8" x14ac:dyDescent="0.35">
      <c r="A77" s="4">
        <v>76</v>
      </c>
      <c r="B77" s="2">
        <v>16</v>
      </c>
      <c r="C77" s="2" t="s">
        <v>3</v>
      </c>
      <c r="D77" s="2"/>
      <c r="E77" s="2"/>
      <c r="F77" s="2"/>
      <c r="G77" s="2"/>
      <c r="H77" s="2"/>
    </row>
    <row r="78" spans="1:8" x14ac:dyDescent="0.35">
      <c r="A78" s="4">
        <v>77</v>
      </c>
      <c r="B78" s="2">
        <v>16</v>
      </c>
      <c r="C78" s="2" t="s">
        <v>3</v>
      </c>
      <c r="D78" s="2"/>
      <c r="E78" s="2"/>
      <c r="F78" s="2"/>
      <c r="G78" s="2"/>
      <c r="H78" s="2"/>
    </row>
  </sheetData>
  <mergeCells count="1">
    <mergeCell ref="D49:H49"/>
  </mergeCells>
  <conditionalFormatting sqref="C2:C78">
    <cfRule type="cellIs" dxfId="19" priority="3" operator="equal">
      <formula>"N"</formula>
    </cfRule>
    <cfRule type="cellIs" dxfId="18" priority="4" operator="equal">
      <formula>"P"</formula>
    </cfRule>
  </conditionalFormatting>
  <conditionalFormatting sqref="D1:H48 I27 J41 K45:K46 D49 D50:H78">
    <cfRule type="cellIs" dxfId="17" priority="5" operator="equal">
      <formula>"N"</formula>
    </cfRule>
    <cfRule type="cellIs" dxfId="16" priority="6" operator="equal">
      <formula>"P"</formula>
    </cfRule>
  </conditionalFormatting>
  <conditionalFormatting sqref="K38:K39">
    <cfRule type="cellIs" dxfId="15" priority="1" operator="equal">
      <formula>"N"</formula>
    </cfRule>
    <cfRule type="cellIs" dxfId="14" priority="2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2583-19B2-493E-B9CA-DBD0DA09B8C1}">
  <dimension ref="A1:H49"/>
  <sheetViews>
    <sheetView topLeftCell="A4" zoomScale="55" zoomScaleNormal="55" workbookViewId="0">
      <selection activeCell="K21" sqref="K21"/>
    </sheetView>
  </sheetViews>
  <sheetFormatPr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0.81640625" bestFit="1" customWidth="1"/>
  </cols>
  <sheetData>
    <row r="1" spans="1:8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4">
        <v>1</v>
      </c>
      <c r="B2" s="2">
        <v>0</v>
      </c>
      <c r="C2" s="2" t="s">
        <v>10</v>
      </c>
      <c r="D2" s="2" t="s">
        <v>11</v>
      </c>
      <c r="E2" s="2" t="s">
        <v>9</v>
      </c>
      <c r="F2" s="2" t="s">
        <v>11</v>
      </c>
      <c r="G2" s="2" t="s">
        <v>11</v>
      </c>
      <c r="H2" s="2" t="s">
        <v>11</v>
      </c>
    </row>
    <row r="3" spans="1:8" x14ac:dyDescent="0.35">
      <c r="A3" s="4">
        <v>2</v>
      </c>
      <c r="B3" s="2">
        <v>0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 x14ac:dyDescent="0.35">
      <c r="A4" s="4">
        <v>3</v>
      </c>
      <c r="B4" s="2">
        <v>0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8" x14ac:dyDescent="0.35">
      <c r="A5" s="4">
        <v>4</v>
      </c>
      <c r="B5" s="2">
        <v>0</v>
      </c>
      <c r="C5" s="2" t="s">
        <v>10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x14ac:dyDescent="0.35">
      <c r="A6" s="4">
        <v>5</v>
      </c>
      <c r="B6" s="2">
        <v>0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x14ac:dyDescent="0.35">
      <c r="A7" s="4">
        <v>6</v>
      </c>
      <c r="B7" s="2">
        <v>0</v>
      </c>
      <c r="C7" s="2" t="s">
        <v>10</v>
      </c>
      <c r="D7" s="2" t="s">
        <v>9</v>
      </c>
      <c r="E7" s="2" t="s">
        <v>11</v>
      </c>
      <c r="F7" s="2" t="s">
        <v>11</v>
      </c>
      <c r="G7" s="2" t="s">
        <v>11</v>
      </c>
      <c r="H7" s="2" t="s">
        <v>11</v>
      </c>
    </row>
    <row r="8" spans="1:8" x14ac:dyDescent="0.35">
      <c r="A8" s="4">
        <v>7</v>
      </c>
      <c r="B8" s="2">
        <v>0</v>
      </c>
      <c r="C8" s="2" t="s">
        <v>10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8" x14ac:dyDescent="0.35">
      <c r="A9" s="4">
        <v>8</v>
      </c>
      <c r="B9" s="2">
        <v>0</v>
      </c>
      <c r="C9" s="2" t="s">
        <v>10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8" x14ac:dyDescent="0.35">
      <c r="A10" s="4">
        <v>9</v>
      </c>
      <c r="B10" s="2">
        <v>0</v>
      </c>
      <c r="C10" s="2" t="s">
        <v>10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</row>
    <row r="11" spans="1:8" x14ac:dyDescent="0.35">
      <c r="A11" s="4">
        <v>10</v>
      </c>
      <c r="B11" s="2">
        <v>0</v>
      </c>
      <c r="C11" s="2" t="s">
        <v>10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 x14ac:dyDescent="0.35">
      <c r="A12" s="4">
        <v>11</v>
      </c>
      <c r="B12" s="2">
        <v>0</v>
      </c>
      <c r="C12" s="2" t="s">
        <v>10</v>
      </c>
      <c r="D12" s="2" t="s">
        <v>11</v>
      </c>
      <c r="E12" s="2" t="s">
        <v>9</v>
      </c>
      <c r="F12" s="2" t="s">
        <v>11</v>
      </c>
      <c r="G12" s="2" t="s">
        <v>11</v>
      </c>
      <c r="H12" s="2" t="s">
        <v>11</v>
      </c>
    </row>
    <row r="13" spans="1:8" x14ac:dyDescent="0.35">
      <c r="A13" s="4">
        <v>12</v>
      </c>
      <c r="B13" s="2">
        <v>0</v>
      </c>
      <c r="C13" s="2" t="s">
        <v>10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8" x14ac:dyDescent="0.35">
      <c r="A14" s="4">
        <v>13</v>
      </c>
      <c r="B14" s="2">
        <v>0</v>
      </c>
      <c r="C14" s="2" t="s">
        <v>10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 x14ac:dyDescent="0.35">
      <c r="A15" s="4">
        <v>14</v>
      </c>
      <c r="B15" s="2">
        <v>0</v>
      </c>
      <c r="C15" s="2" t="s">
        <v>10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</row>
    <row r="16" spans="1:8" x14ac:dyDescent="0.35">
      <c r="A16" s="4">
        <v>15</v>
      </c>
      <c r="B16" s="2">
        <v>0</v>
      </c>
      <c r="C16" s="2" t="s">
        <v>10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9</v>
      </c>
    </row>
    <row r="17" spans="1:8" x14ac:dyDescent="0.35">
      <c r="A17" s="4">
        <v>16</v>
      </c>
      <c r="B17" s="2">
        <v>0</v>
      </c>
      <c r="C17" s="2" t="s">
        <v>10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11</v>
      </c>
    </row>
    <row r="18" spans="1:8" x14ac:dyDescent="0.35">
      <c r="A18" s="4">
        <v>17</v>
      </c>
      <c r="B18" s="2">
        <v>0</v>
      </c>
      <c r="C18" s="2" t="s">
        <v>10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</row>
    <row r="19" spans="1:8" x14ac:dyDescent="0.35">
      <c r="A19" s="4">
        <v>18</v>
      </c>
      <c r="B19" s="2">
        <v>0</v>
      </c>
      <c r="C19" s="2" t="s">
        <v>10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</row>
    <row r="20" spans="1:8" x14ac:dyDescent="0.35">
      <c r="A20" s="4">
        <v>19</v>
      </c>
      <c r="B20" s="2">
        <v>0</v>
      </c>
      <c r="C20" s="2" t="s">
        <v>10</v>
      </c>
      <c r="D20" s="2" t="s">
        <v>11</v>
      </c>
      <c r="E20" s="2" t="s">
        <v>11</v>
      </c>
      <c r="F20" s="2" t="s">
        <v>11</v>
      </c>
      <c r="G20" s="2" t="s">
        <v>9</v>
      </c>
      <c r="H20" s="2" t="s">
        <v>11</v>
      </c>
    </row>
    <row r="21" spans="1:8" x14ac:dyDescent="0.35">
      <c r="A21" s="4">
        <v>20</v>
      </c>
      <c r="B21" s="2">
        <v>0</v>
      </c>
      <c r="C21" s="2" t="s">
        <v>10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11</v>
      </c>
    </row>
    <row r="22" spans="1:8" x14ac:dyDescent="0.35">
      <c r="A22" s="4">
        <v>21</v>
      </c>
      <c r="B22" s="2">
        <v>0</v>
      </c>
      <c r="C22" s="2" t="s">
        <v>10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11</v>
      </c>
    </row>
    <row r="23" spans="1:8" x14ac:dyDescent="0.35">
      <c r="A23" s="4">
        <v>22</v>
      </c>
      <c r="B23" s="2">
        <v>0</v>
      </c>
      <c r="C23" s="2" t="s">
        <v>10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</row>
    <row r="24" spans="1:8" x14ac:dyDescent="0.35">
      <c r="A24" s="4">
        <v>23</v>
      </c>
      <c r="B24" s="2">
        <v>0</v>
      </c>
      <c r="C24" s="2" t="s">
        <v>10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11</v>
      </c>
    </row>
    <row r="25" spans="1:8" x14ac:dyDescent="0.35">
      <c r="A25" s="4">
        <v>24</v>
      </c>
      <c r="B25" s="2">
        <v>0</v>
      </c>
      <c r="C25" s="2" t="s">
        <v>10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spans="1:8" x14ac:dyDescent="0.35">
      <c r="A26" s="4">
        <v>25</v>
      </c>
      <c r="B26" s="2">
        <v>0</v>
      </c>
      <c r="C26" s="2" t="s">
        <v>10</v>
      </c>
      <c r="D26" s="2" t="s">
        <v>11</v>
      </c>
      <c r="E26" s="2" t="s">
        <v>9</v>
      </c>
      <c r="F26" s="2" t="s">
        <v>11</v>
      </c>
      <c r="G26" s="2" t="s">
        <v>11</v>
      </c>
      <c r="H26" s="2" t="s">
        <v>11</v>
      </c>
    </row>
    <row r="27" spans="1:8" x14ac:dyDescent="0.35">
      <c r="A27" s="4">
        <v>26</v>
      </c>
      <c r="B27" s="2">
        <v>0</v>
      </c>
      <c r="C27" s="2" t="s">
        <v>10</v>
      </c>
      <c r="D27" s="2" t="s">
        <v>9</v>
      </c>
      <c r="E27" s="2" t="s">
        <v>9</v>
      </c>
      <c r="F27" s="2" t="s">
        <v>9</v>
      </c>
      <c r="G27" s="2" t="s">
        <v>11</v>
      </c>
      <c r="H27" s="2" t="s">
        <v>11</v>
      </c>
    </row>
    <row r="28" spans="1:8" x14ac:dyDescent="0.35">
      <c r="A28" s="4">
        <v>27</v>
      </c>
      <c r="B28" s="2">
        <v>0</v>
      </c>
      <c r="C28" s="2" t="s">
        <v>10</v>
      </c>
      <c r="D28" s="2" t="s">
        <v>11</v>
      </c>
      <c r="E28" s="2" t="s">
        <v>11</v>
      </c>
      <c r="F28" s="2" t="s">
        <v>11</v>
      </c>
      <c r="G28" s="2" t="s">
        <v>11</v>
      </c>
      <c r="H28" s="2" t="s">
        <v>11</v>
      </c>
    </row>
    <row r="29" spans="1:8" x14ac:dyDescent="0.35">
      <c r="A29" s="4">
        <v>28</v>
      </c>
      <c r="B29" s="2">
        <v>0</v>
      </c>
      <c r="C29" s="2" t="s">
        <v>10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8" x14ac:dyDescent="0.35">
      <c r="A30" s="4">
        <v>29</v>
      </c>
      <c r="B30" s="2">
        <v>0</v>
      </c>
      <c r="C30" s="2" t="s">
        <v>10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</row>
    <row r="31" spans="1:8" x14ac:dyDescent="0.35">
      <c r="A31" s="4">
        <v>30</v>
      </c>
      <c r="B31" s="2">
        <v>0</v>
      </c>
      <c r="C31" s="2" t="s">
        <v>10</v>
      </c>
      <c r="D31" s="2" t="s">
        <v>11</v>
      </c>
      <c r="E31" s="2" t="s">
        <v>11</v>
      </c>
      <c r="F31" s="2" t="s">
        <v>11</v>
      </c>
      <c r="G31" s="2" t="s">
        <v>11</v>
      </c>
      <c r="H31" s="2" t="s">
        <v>11</v>
      </c>
    </row>
    <row r="32" spans="1:8" x14ac:dyDescent="0.35">
      <c r="A32" s="4">
        <v>31</v>
      </c>
      <c r="B32" s="2">
        <v>0</v>
      </c>
      <c r="C32" s="2" t="s">
        <v>10</v>
      </c>
      <c r="D32" s="2" t="s">
        <v>11</v>
      </c>
      <c r="E32" s="2" t="s">
        <v>11</v>
      </c>
      <c r="F32" s="2" t="s">
        <v>11</v>
      </c>
      <c r="G32" s="2" t="s">
        <v>11</v>
      </c>
      <c r="H32" s="2" t="s">
        <v>11</v>
      </c>
    </row>
    <row r="33" spans="1:8" x14ac:dyDescent="0.35">
      <c r="A33" s="4">
        <v>32</v>
      </c>
      <c r="B33" s="2">
        <v>0</v>
      </c>
      <c r="C33" s="2" t="s">
        <v>10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</row>
    <row r="34" spans="1:8" x14ac:dyDescent="0.35">
      <c r="A34" s="4">
        <v>33</v>
      </c>
      <c r="B34" s="2">
        <v>0</v>
      </c>
      <c r="C34" s="2" t="s">
        <v>10</v>
      </c>
      <c r="D34" s="2" t="s">
        <v>11</v>
      </c>
      <c r="E34" s="2" t="s">
        <v>11</v>
      </c>
      <c r="F34" s="2" t="s">
        <v>11</v>
      </c>
      <c r="G34" s="2" t="s">
        <v>11</v>
      </c>
      <c r="H34" s="2" t="s">
        <v>11</v>
      </c>
    </row>
    <row r="35" spans="1:8" x14ac:dyDescent="0.35">
      <c r="A35" s="4">
        <v>34</v>
      </c>
      <c r="B35" s="2">
        <v>0</v>
      </c>
      <c r="C35" s="2" t="s">
        <v>10</v>
      </c>
      <c r="D35" s="2" t="s">
        <v>11</v>
      </c>
      <c r="E35" s="2" t="s">
        <v>11</v>
      </c>
      <c r="F35" s="2" t="s">
        <v>11</v>
      </c>
      <c r="G35" s="2" t="s">
        <v>11</v>
      </c>
      <c r="H35" s="2" t="s">
        <v>11</v>
      </c>
    </row>
    <row r="36" spans="1:8" x14ac:dyDescent="0.35">
      <c r="A36" s="4">
        <v>35</v>
      </c>
      <c r="B36" s="2">
        <v>0</v>
      </c>
      <c r="C36" s="2" t="s">
        <v>10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11</v>
      </c>
    </row>
    <row r="37" spans="1:8" x14ac:dyDescent="0.35">
      <c r="A37" s="4">
        <v>36</v>
      </c>
      <c r="B37" s="2">
        <v>0</v>
      </c>
      <c r="C37" s="2" t="s">
        <v>10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 x14ac:dyDescent="0.35">
      <c r="A38" s="4">
        <v>37</v>
      </c>
      <c r="B38" s="2">
        <v>0</v>
      </c>
      <c r="C38" s="2" t="s">
        <v>10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</row>
    <row r="39" spans="1:8" x14ac:dyDescent="0.35">
      <c r="A39" s="4">
        <v>38</v>
      </c>
      <c r="B39" s="2">
        <v>0</v>
      </c>
      <c r="C39" s="2" t="s">
        <v>10</v>
      </c>
      <c r="D39" s="2" t="s">
        <v>11</v>
      </c>
      <c r="E39" s="2" t="s">
        <v>9</v>
      </c>
      <c r="F39" s="2" t="s">
        <v>9</v>
      </c>
      <c r="G39" s="2" t="s">
        <v>9</v>
      </c>
      <c r="H39" s="2" t="s">
        <v>11</v>
      </c>
    </row>
    <row r="40" spans="1:8" x14ac:dyDescent="0.35">
      <c r="A40" s="4">
        <v>39</v>
      </c>
      <c r="B40" s="2">
        <v>0</v>
      </c>
      <c r="C40" s="2" t="s">
        <v>10</v>
      </c>
      <c r="D40" s="2" t="s">
        <v>11</v>
      </c>
      <c r="E40" s="2" t="s">
        <v>11</v>
      </c>
      <c r="F40" s="2" t="s">
        <v>11</v>
      </c>
      <c r="G40" s="2" t="s">
        <v>11</v>
      </c>
      <c r="H40" s="2" t="s">
        <v>11</v>
      </c>
    </row>
    <row r="41" spans="1:8" x14ac:dyDescent="0.35">
      <c r="A41" s="4">
        <v>40</v>
      </c>
      <c r="B41" s="2">
        <v>0</v>
      </c>
      <c r="C41" s="2" t="s">
        <v>10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</row>
    <row r="42" spans="1:8" x14ac:dyDescent="0.35">
      <c r="A42" s="4">
        <v>41</v>
      </c>
      <c r="B42" s="2">
        <v>0</v>
      </c>
      <c r="C42" s="2" t="s">
        <v>10</v>
      </c>
      <c r="D42" s="2" t="s">
        <v>11</v>
      </c>
      <c r="E42" s="2" t="s">
        <v>11</v>
      </c>
      <c r="F42" s="2" t="s">
        <v>11</v>
      </c>
      <c r="G42" s="2" t="s">
        <v>11</v>
      </c>
      <c r="H42" s="2" t="s">
        <v>11</v>
      </c>
    </row>
    <row r="43" spans="1:8" x14ac:dyDescent="0.35">
      <c r="A43" s="4">
        <v>42</v>
      </c>
      <c r="B43" s="2">
        <v>0</v>
      </c>
      <c r="C43" s="2" t="s">
        <v>10</v>
      </c>
      <c r="D43" s="2" t="s">
        <v>11</v>
      </c>
      <c r="E43" s="2" t="s">
        <v>11</v>
      </c>
      <c r="F43" s="2" t="s">
        <v>11</v>
      </c>
      <c r="G43" s="2" t="s">
        <v>11</v>
      </c>
      <c r="H43" s="2" t="s">
        <v>11</v>
      </c>
    </row>
    <row r="44" spans="1:8" x14ac:dyDescent="0.35">
      <c r="A44" s="4">
        <v>43</v>
      </c>
      <c r="B44" s="2">
        <v>0</v>
      </c>
      <c r="C44" s="2" t="s">
        <v>10</v>
      </c>
      <c r="D44" s="2" t="s">
        <v>11</v>
      </c>
      <c r="E44" s="2" t="s">
        <v>11</v>
      </c>
      <c r="F44" s="2" t="s">
        <v>11</v>
      </c>
      <c r="G44" s="2" t="s">
        <v>11</v>
      </c>
      <c r="H44" s="2" t="s">
        <v>11</v>
      </c>
    </row>
    <row r="45" spans="1:8" x14ac:dyDescent="0.35">
      <c r="A45" s="4">
        <v>44</v>
      </c>
      <c r="B45" s="2">
        <v>0</v>
      </c>
      <c r="C45" s="2" t="s">
        <v>10</v>
      </c>
      <c r="D45" s="2" t="s">
        <v>11</v>
      </c>
      <c r="E45" s="2" t="s">
        <v>9</v>
      </c>
      <c r="F45" s="2" t="s">
        <v>11</v>
      </c>
      <c r="G45" s="2" t="s">
        <v>11</v>
      </c>
      <c r="H45" s="2" t="s">
        <v>11</v>
      </c>
    </row>
    <row r="46" spans="1:8" x14ac:dyDescent="0.35">
      <c r="A46" s="4">
        <v>45</v>
      </c>
      <c r="B46" s="2">
        <v>0</v>
      </c>
      <c r="C46" s="2" t="s">
        <v>10</v>
      </c>
      <c r="D46" s="2" t="s">
        <v>11</v>
      </c>
      <c r="E46" s="2" t="s">
        <v>11</v>
      </c>
      <c r="F46" s="2" t="s">
        <v>11</v>
      </c>
      <c r="G46" s="2" t="s">
        <v>11</v>
      </c>
      <c r="H46" s="2" t="s">
        <v>11</v>
      </c>
    </row>
    <row r="47" spans="1:8" x14ac:dyDescent="0.35">
      <c r="A47" s="4">
        <v>46</v>
      </c>
      <c r="B47" s="2">
        <v>0</v>
      </c>
      <c r="C47" s="2" t="s">
        <v>10</v>
      </c>
      <c r="D47" s="2" t="s">
        <v>11</v>
      </c>
      <c r="E47" s="2" t="s">
        <v>11</v>
      </c>
      <c r="F47" s="2" t="s">
        <v>11</v>
      </c>
      <c r="G47" s="2" t="s">
        <v>11</v>
      </c>
      <c r="H47" s="2" t="s">
        <v>11</v>
      </c>
    </row>
    <row r="48" spans="1:8" x14ac:dyDescent="0.35">
      <c r="A48" s="4">
        <v>47</v>
      </c>
      <c r="B48" s="2">
        <v>0</v>
      </c>
      <c r="C48" s="2" t="s">
        <v>10</v>
      </c>
      <c r="D48" s="2" t="s">
        <v>11</v>
      </c>
      <c r="E48" s="2" t="s">
        <v>11</v>
      </c>
      <c r="F48" s="2" t="s">
        <v>11</v>
      </c>
      <c r="G48" s="2" t="s">
        <v>11</v>
      </c>
      <c r="H48" s="2" t="s">
        <v>11</v>
      </c>
    </row>
    <row r="49" spans="1:8" x14ac:dyDescent="0.35">
      <c r="A49" s="4">
        <v>48</v>
      </c>
      <c r="B49" s="2">
        <v>0</v>
      </c>
      <c r="C49" s="2" t="s">
        <v>10</v>
      </c>
      <c r="D49" s="2" t="s">
        <v>11</v>
      </c>
      <c r="E49" s="2" t="s">
        <v>11</v>
      </c>
      <c r="F49" s="2" t="s">
        <v>11</v>
      </c>
      <c r="G49" s="2" t="s">
        <v>11</v>
      </c>
      <c r="H49" s="2" t="s">
        <v>11</v>
      </c>
    </row>
  </sheetData>
  <conditionalFormatting sqref="C2:C49">
    <cfRule type="cellIs" dxfId="13" priority="1" operator="equal">
      <formula>"N"</formula>
    </cfRule>
    <cfRule type="cellIs" dxfId="12" priority="2" operator="equal">
      <formula>"P"</formula>
    </cfRule>
  </conditionalFormatting>
  <conditionalFormatting sqref="D1:H49">
    <cfRule type="cellIs" dxfId="11" priority="3" operator="equal">
      <formula>"N"</formula>
    </cfRule>
    <cfRule type="cellIs" dxfId="10" priority="4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193A-964A-4C06-959C-AE15FDEEB027}">
  <dimension ref="A1:L78"/>
  <sheetViews>
    <sheetView topLeftCell="A22" zoomScale="55" zoomScaleNormal="55" workbookViewId="0">
      <selection activeCell="I48" sqref="I48"/>
    </sheetView>
  </sheetViews>
  <sheetFormatPr defaultRowHeight="14.5" x14ac:dyDescent="0.35"/>
  <cols>
    <col min="1" max="1" width="7.54296875" bestFit="1" customWidth="1"/>
    <col min="2" max="2" width="19.453125" bestFit="1" customWidth="1"/>
    <col min="3" max="3" width="10.08984375" bestFit="1" customWidth="1"/>
    <col min="4" max="8" width="10.90625" bestFit="1" customWidth="1"/>
    <col min="10" max="10" width="19" bestFit="1" customWidth="1"/>
    <col min="11" max="11" width="20.26953125" bestFit="1" customWidth="1"/>
    <col min="12" max="12" width="12" bestFit="1" customWidth="1"/>
  </cols>
  <sheetData>
    <row r="1" spans="1:12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K1" s="2" t="s">
        <v>13</v>
      </c>
      <c r="L1">
        <f>(COUNTIF(D2:H38,"p"))/(37*5)</f>
        <v>0.26486486486486488</v>
      </c>
    </row>
    <row r="2" spans="1:12" x14ac:dyDescent="0.35">
      <c r="A2" s="4">
        <v>1</v>
      </c>
      <c r="B2" s="2">
        <v>1000</v>
      </c>
      <c r="C2" s="2" t="s">
        <v>3</v>
      </c>
      <c r="D2" s="2"/>
      <c r="E2" s="2"/>
      <c r="F2" s="2"/>
      <c r="G2" s="2"/>
      <c r="H2" s="2"/>
    </row>
    <row r="3" spans="1:12" x14ac:dyDescent="0.35">
      <c r="A3" s="4">
        <v>2</v>
      </c>
      <c r="B3" s="2">
        <v>1000</v>
      </c>
      <c r="C3" s="2" t="s">
        <v>3</v>
      </c>
      <c r="D3" s="2"/>
      <c r="E3" s="2"/>
      <c r="F3" s="2"/>
      <c r="G3" s="2"/>
      <c r="H3" s="2"/>
    </row>
    <row r="4" spans="1:12" x14ac:dyDescent="0.35">
      <c r="A4" s="4">
        <v>3</v>
      </c>
      <c r="B4" s="2">
        <v>1000</v>
      </c>
      <c r="C4" s="2" t="s">
        <v>3</v>
      </c>
      <c r="D4" s="2"/>
      <c r="E4" s="2"/>
      <c r="F4" s="2"/>
      <c r="G4" s="2"/>
      <c r="H4" s="2"/>
    </row>
    <row r="5" spans="1:12" x14ac:dyDescent="0.35">
      <c r="A5" s="4">
        <v>4</v>
      </c>
      <c r="B5" s="2">
        <v>1000</v>
      </c>
      <c r="C5" s="2" t="s">
        <v>3</v>
      </c>
      <c r="D5" s="2"/>
      <c r="E5" s="2"/>
      <c r="F5" s="2"/>
      <c r="G5" s="2"/>
      <c r="H5" s="2"/>
    </row>
    <row r="6" spans="1:12" x14ac:dyDescent="0.35">
      <c r="A6" s="4">
        <v>5</v>
      </c>
      <c r="B6" s="2">
        <v>1000</v>
      </c>
      <c r="C6" s="2" t="s">
        <v>3</v>
      </c>
      <c r="D6" s="2"/>
      <c r="E6" s="2"/>
      <c r="F6" s="2"/>
      <c r="G6" s="2"/>
      <c r="H6" s="2"/>
    </row>
    <row r="7" spans="1:12" x14ac:dyDescent="0.35">
      <c r="A7" s="4">
        <v>6</v>
      </c>
      <c r="B7" s="2">
        <v>1000</v>
      </c>
      <c r="C7" s="2" t="s">
        <v>3</v>
      </c>
      <c r="D7" s="2"/>
      <c r="E7" s="2"/>
      <c r="F7" s="2"/>
      <c r="G7" s="2"/>
      <c r="H7" s="2"/>
    </row>
    <row r="8" spans="1:12" x14ac:dyDescent="0.35">
      <c r="A8" s="4">
        <v>7</v>
      </c>
      <c r="B8" s="2">
        <v>1000</v>
      </c>
      <c r="C8" s="2" t="s">
        <v>3</v>
      </c>
      <c r="D8" s="2"/>
      <c r="E8" s="2"/>
      <c r="F8" s="2"/>
      <c r="G8" s="2"/>
      <c r="H8" s="2"/>
    </row>
    <row r="9" spans="1:12" x14ac:dyDescent="0.35">
      <c r="A9" s="4">
        <v>8</v>
      </c>
      <c r="B9" s="2">
        <v>1000</v>
      </c>
      <c r="C9" s="2" t="s">
        <v>3</v>
      </c>
      <c r="D9" s="2"/>
      <c r="E9" s="2"/>
      <c r="F9" s="2"/>
      <c r="G9" s="2"/>
      <c r="H9" s="2"/>
    </row>
    <row r="10" spans="1:12" x14ac:dyDescent="0.35">
      <c r="A10" s="4">
        <v>9</v>
      </c>
      <c r="B10" s="2">
        <v>1000</v>
      </c>
      <c r="C10" s="2" t="s">
        <v>3</v>
      </c>
      <c r="D10" s="2"/>
      <c r="E10" s="2"/>
      <c r="F10" s="2"/>
      <c r="G10" s="2"/>
      <c r="H10" s="2"/>
    </row>
    <row r="11" spans="1:12" x14ac:dyDescent="0.35">
      <c r="A11" s="4">
        <v>10</v>
      </c>
      <c r="B11" s="2">
        <v>1000</v>
      </c>
      <c r="C11" s="2" t="s">
        <v>3</v>
      </c>
      <c r="D11" s="2"/>
      <c r="E11" s="2"/>
      <c r="F11" s="2"/>
      <c r="G11" s="2"/>
      <c r="H11" s="2"/>
    </row>
    <row r="12" spans="1:12" x14ac:dyDescent="0.35">
      <c r="A12" s="4">
        <v>11</v>
      </c>
      <c r="B12" s="2">
        <v>1000</v>
      </c>
      <c r="C12" s="2" t="s">
        <v>3</v>
      </c>
      <c r="D12" s="2"/>
      <c r="E12" s="2"/>
      <c r="F12" s="2"/>
      <c r="G12" s="2"/>
      <c r="H12" s="2"/>
    </row>
    <row r="13" spans="1:12" x14ac:dyDescent="0.35">
      <c r="A13" s="4">
        <v>12</v>
      </c>
      <c r="B13" s="2">
        <v>1000</v>
      </c>
      <c r="C13" s="2" t="s">
        <v>3</v>
      </c>
      <c r="D13" s="2"/>
      <c r="E13" s="2"/>
      <c r="F13" s="2"/>
      <c r="G13" s="2"/>
      <c r="H13" s="2"/>
    </row>
    <row r="14" spans="1:12" x14ac:dyDescent="0.35">
      <c r="A14" s="4">
        <v>13</v>
      </c>
      <c r="B14" s="2">
        <v>1000</v>
      </c>
      <c r="C14" s="2" t="s">
        <v>3</v>
      </c>
      <c r="D14" s="2"/>
      <c r="E14" s="2"/>
      <c r="F14" s="2"/>
      <c r="G14" s="2"/>
      <c r="H14" s="2"/>
    </row>
    <row r="15" spans="1:12" x14ac:dyDescent="0.35">
      <c r="A15" s="4">
        <v>14</v>
      </c>
      <c r="B15" s="2">
        <v>1000</v>
      </c>
      <c r="C15" s="2" t="s">
        <v>3</v>
      </c>
      <c r="D15" s="2"/>
      <c r="E15" s="2"/>
      <c r="F15" s="2"/>
      <c r="G15" s="2"/>
      <c r="H15" s="2"/>
    </row>
    <row r="16" spans="1:12" x14ac:dyDescent="0.35">
      <c r="A16" s="5">
        <v>15</v>
      </c>
      <c r="B16" s="6">
        <v>1000</v>
      </c>
      <c r="C16" s="6" t="s">
        <v>3</v>
      </c>
      <c r="D16" s="6"/>
      <c r="E16" s="6"/>
      <c r="F16" s="6"/>
      <c r="G16" s="6"/>
      <c r="H16" s="6"/>
    </row>
    <row r="17" spans="1:9" x14ac:dyDescent="0.35">
      <c r="A17" s="4">
        <v>16</v>
      </c>
      <c r="B17" s="2">
        <v>500</v>
      </c>
      <c r="C17" s="2" t="s">
        <v>3</v>
      </c>
      <c r="D17" s="2"/>
      <c r="E17" s="2"/>
      <c r="F17" s="2"/>
      <c r="G17" s="2"/>
      <c r="H17" s="2"/>
    </row>
    <row r="18" spans="1:9" x14ac:dyDescent="0.35">
      <c r="A18" s="4">
        <v>17</v>
      </c>
      <c r="B18" s="2">
        <v>500</v>
      </c>
      <c r="C18" s="2" t="s">
        <v>3</v>
      </c>
      <c r="D18" s="2"/>
      <c r="E18" s="2"/>
      <c r="F18" s="2"/>
      <c r="G18" s="2"/>
      <c r="H18" s="2"/>
    </row>
    <row r="19" spans="1:9" x14ac:dyDescent="0.35">
      <c r="A19" s="4">
        <v>18</v>
      </c>
      <c r="B19" s="2">
        <v>500</v>
      </c>
      <c r="C19" s="2" t="s">
        <v>3</v>
      </c>
      <c r="D19" s="2"/>
      <c r="E19" s="2"/>
      <c r="F19" s="2"/>
      <c r="G19" s="2"/>
      <c r="H19" s="2"/>
    </row>
    <row r="20" spans="1:9" x14ac:dyDescent="0.35">
      <c r="A20" s="4">
        <v>19</v>
      </c>
      <c r="B20" s="2">
        <v>500</v>
      </c>
      <c r="C20" s="2" t="s">
        <v>3</v>
      </c>
      <c r="D20" s="2"/>
      <c r="E20" s="2"/>
      <c r="F20" s="2"/>
      <c r="G20" s="2"/>
      <c r="H20" s="2"/>
    </row>
    <row r="21" spans="1:9" x14ac:dyDescent="0.35">
      <c r="A21" s="4">
        <v>20</v>
      </c>
      <c r="B21" s="2">
        <v>500</v>
      </c>
      <c r="C21" s="2" t="s">
        <v>3</v>
      </c>
      <c r="D21" s="2"/>
      <c r="E21" s="2"/>
      <c r="F21" s="2"/>
      <c r="G21" s="2"/>
      <c r="H21" s="2"/>
    </row>
    <row r="22" spans="1:9" x14ac:dyDescent="0.35">
      <c r="A22" s="4">
        <v>21</v>
      </c>
      <c r="B22" s="2">
        <v>500</v>
      </c>
      <c r="C22" s="2" t="s">
        <v>3</v>
      </c>
      <c r="D22" s="2"/>
      <c r="E22" s="2"/>
      <c r="F22" s="2"/>
      <c r="G22" s="2"/>
      <c r="H22" s="2"/>
    </row>
    <row r="23" spans="1:9" x14ac:dyDescent="0.35">
      <c r="A23" s="4">
        <v>22</v>
      </c>
      <c r="B23" s="2">
        <v>500</v>
      </c>
      <c r="C23" s="2" t="s">
        <v>3</v>
      </c>
      <c r="D23" s="2"/>
      <c r="E23" s="2"/>
      <c r="F23" s="2"/>
      <c r="G23" s="2"/>
      <c r="H23" s="2"/>
    </row>
    <row r="24" spans="1:9" x14ac:dyDescent="0.35">
      <c r="A24" s="4">
        <v>23</v>
      </c>
      <c r="B24" s="2">
        <v>500</v>
      </c>
      <c r="C24" s="2" t="s">
        <v>3</v>
      </c>
      <c r="D24" s="2"/>
      <c r="E24" s="2"/>
      <c r="F24" s="2"/>
      <c r="G24" s="2"/>
      <c r="H24" s="2"/>
    </row>
    <row r="25" spans="1:9" x14ac:dyDescent="0.35">
      <c r="A25" s="4">
        <v>24</v>
      </c>
      <c r="B25" s="2">
        <v>500</v>
      </c>
      <c r="C25" s="2" t="s">
        <v>3</v>
      </c>
      <c r="D25" s="2"/>
      <c r="E25" s="2"/>
      <c r="F25" s="2"/>
      <c r="G25" s="2"/>
      <c r="H25" s="2"/>
    </row>
    <row r="26" spans="1:9" x14ac:dyDescent="0.35">
      <c r="A26" s="4">
        <v>25</v>
      </c>
      <c r="B26" s="2">
        <v>500</v>
      </c>
      <c r="C26" s="2" t="s">
        <v>3</v>
      </c>
      <c r="D26" s="2"/>
      <c r="E26" s="2"/>
      <c r="F26" s="2"/>
      <c r="G26" s="2"/>
      <c r="H26" s="2"/>
    </row>
    <row r="27" spans="1:9" x14ac:dyDescent="0.35">
      <c r="A27" s="4">
        <v>26</v>
      </c>
      <c r="B27" s="2">
        <v>500</v>
      </c>
      <c r="C27" s="2" t="s">
        <v>3</v>
      </c>
      <c r="D27" s="2"/>
      <c r="E27" s="2"/>
      <c r="F27" s="2"/>
      <c r="G27" s="2"/>
      <c r="H27" s="2"/>
      <c r="I27" s="2"/>
    </row>
    <row r="28" spans="1:9" x14ac:dyDescent="0.35">
      <c r="A28" s="5">
        <v>27</v>
      </c>
      <c r="B28" s="6">
        <v>500</v>
      </c>
      <c r="C28" s="6" t="s">
        <v>3</v>
      </c>
      <c r="D28" s="6"/>
      <c r="E28" s="6"/>
      <c r="F28" s="6"/>
      <c r="G28" s="6"/>
      <c r="H28" s="6"/>
    </row>
    <row r="29" spans="1:9" x14ac:dyDescent="0.35">
      <c r="A29" s="4">
        <v>28</v>
      </c>
      <c r="B29" s="2">
        <v>250</v>
      </c>
      <c r="C29" s="2" t="s">
        <v>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9" x14ac:dyDescent="0.35">
      <c r="A30" s="4">
        <v>29</v>
      </c>
      <c r="B30" s="2">
        <v>250</v>
      </c>
      <c r="C30" s="2" t="s">
        <v>3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spans="1:9" x14ac:dyDescent="0.35">
      <c r="A31" s="4">
        <v>30</v>
      </c>
      <c r="B31" s="2">
        <v>250</v>
      </c>
      <c r="C31" s="2" t="s">
        <v>3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spans="1:9" x14ac:dyDescent="0.35">
      <c r="A32" s="4">
        <v>31</v>
      </c>
      <c r="B32" s="2">
        <v>250</v>
      </c>
      <c r="C32" s="2" t="s">
        <v>3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12" x14ac:dyDescent="0.35">
      <c r="A33" s="4">
        <v>32</v>
      </c>
      <c r="B33" s="2">
        <v>250</v>
      </c>
      <c r="C33" s="2" t="s">
        <v>3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</row>
    <row r="34" spans="1:12" x14ac:dyDescent="0.35">
      <c r="A34" s="4">
        <v>33</v>
      </c>
      <c r="B34" s="2">
        <v>250</v>
      </c>
      <c r="C34" s="2" t="s">
        <v>3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spans="1:12" x14ac:dyDescent="0.35">
      <c r="A35" s="4">
        <v>34</v>
      </c>
      <c r="B35" s="2">
        <v>250</v>
      </c>
      <c r="C35" s="2" t="s">
        <v>3</v>
      </c>
      <c r="D35" s="2" t="s">
        <v>9</v>
      </c>
      <c r="E35" s="2" t="s">
        <v>9</v>
      </c>
      <c r="F35" s="2" t="s">
        <v>11</v>
      </c>
      <c r="G35" s="2" t="s">
        <v>9</v>
      </c>
      <c r="H35" s="2" t="s">
        <v>9</v>
      </c>
    </row>
    <row r="36" spans="1:12" x14ac:dyDescent="0.35">
      <c r="A36" s="4">
        <v>35</v>
      </c>
      <c r="B36" s="2">
        <v>250</v>
      </c>
      <c r="C36" s="2" t="s">
        <v>3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spans="1:12" x14ac:dyDescent="0.35">
      <c r="A37" s="4">
        <v>36</v>
      </c>
      <c r="B37" s="2">
        <v>250</v>
      </c>
      <c r="C37" s="2" t="s">
        <v>3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spans="1:12" x14ac:dyDescent="0.35">
      <c r="A38" s="5">
        <v>37</v>
      </c>
      <c r="B38" s="6">
        <v>250</v>
      </c>
      <c r="C38" s="6" t="s">
        <v>3</v>
      </c>
      <c r="D38" s="6" t="s">
        <v>9</v>
      </c>
      <c r="E38" s="6" t="s">
        <v>9</v>
      </c>
      <c r="F38" s="6" t="s">
        <v>9</v>
      </c>
      <c r="G38" s="6" t="s">
        <v>9</v>
      </c>
      <c r="H38" s="6" t="s">
        <v>9</v>
      </c>
      <c r="K38" s="2"/>
      <c r="L38" s="9"/>
    </row>
    <row r="39" spans="1:12" x14ac:dyDescent="0.35">
      <c r="A39" s="4">
        <v>38</v>
      </c>
      <c r="B39" s="2">
        <v>125</v>
      </c>
      <c r="C39" s="2" t="s">
        <v>3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11</v>
      </c>
      <c r="K39" s="2"/>
      <c r="L39" s="9"/>
    </row>
    <row r="40" spans="1:12" x14ac:dyDescent="0.35">
      <c r="A40" s="4">
        <v>39</v>
      </c>
      <c r="B40" s="2">
        <v>125</v>
      </c>
      <c r="C40" s="2" t="s">
        <v>3</v>
      </c>
      <c r="D40" s="2" t="s">
        <v>11</v>
      </c>
      <c r="E40" s="2" t="s">
        <v>9</v>
      </c>
      <c r="F40" s="2" t="s">
        <v>11</v>
      </c>
      <c r="G40" s="2" t="s">
        <v>9</v>
      </c>
      <c r="H40" s="2" t="s">
        <v>9</v>
      </c>
    </row>
    <row r="41" spans="1:12" x14ac:dyDescent="0.35">
      <c r="A41" s="4">
        <v>40</v>
      </c>
      <c r="B41" s="2">
        <v>125</v>
      </c>
      <c r="C41" s="2" t="s">
        <v>3</v>
      </c>
      <c r="D41" s="2" t="s">
        <v>9</v>
      </c>
      <c r="E41" s="2" t="s">
        <v>11</v>
      </c>
      <c r="F41" s="2" t="s">
        <v>11</v>
      </c>
      <c r="G41" s="2" t="s">
        <v>11</v>
      </c>
      <c r="H41" s="2" t="s">
        <v>11</v>
      </c>
      <c r="J41" s="2"/>
    </row>
    <row r="42" spans="1:12" x14ac:dyDescent="0.35">
      <c r="A42" s="4">
        <v>41</v>
      </c>
      <c r="B42" s="2">
        <v>125</v>
      </c>
      <c r="C42" s="2" t="s">
        <v>3</v>
      </c>
      <c r="D42" s="2" t="s">
        <v>9</v>
      </c>
      <c r="E42" s="2" t="s">
        <v>9</v>
      </c>
      <c r="F42" s="2" t="s">
        <v>11</v>
      </c>
      <c r="G42" s="2" t="s">
        <v>11</v>
      </c>
      <c r="H42" s="2" t="s">
        <v>9</v>
      </c>
      <c r="J42" s="2" t="s">
        <v>22</v>
      </c>
      <c r="K42">
        <f>(COUNTIF(D39:H48,"p"))/50</f>
        <v>0.76</v>
      </c>
    </row>
    <row r="43" spans="1:12" x14ac:dyDescent="0.35">
      <c r="A43" s="4">
        <v>42</v>
      </c>
      <c r="B43" s="2">
        <v>125</v>
      </c>
      <c r="C43" s="2" t="s">
        <v>3</v>
      </c>
      <c r="D43" s="2" t="s">
        <v>9</v>
      </c>
      <c r="E43" s="2" t="s">
        <v>11</v>
      </c>
      <c r="F43" s="2" t="s">
        <v>11</v>
      </c>
      <c r="G43" s="2" t="s">
        <v>9</v>
      </c>
      <c r="H43" s="2" t="s">
        <v>9</v>
      </c>
    </row>
    <row r="44" spans="1:12" x14ac:dyDescent="0.35">
      <c r="A44" s="4">
        <v>43</v>
      </c>
      <c r="B44" s="2">
        <v>125</v>
      </c>
      <c r="C44" s="2" t="s">
        <v>3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9</v>
      </c>
    </row>
    <row r="45" spans="1:12" x14ac:dyDescent="0.35">
      <c r="A45" s="4">
        <v>44</v>
      </c>
      <c r="B45" s="2">
        <v>125</v>
      </c>
      <c r="C45" s="2" t="s">
        <v>3</v>
      </c>
      <c r="D45" s="2" t="s">
        <v>9</v>
      </c>
      <c r="E45" s="2" t="s">
        <v>11</v>
      </c>
      <c r="F45" s="2" t="s">
        <v>9</v>
      </c>
      <c r="G45" s="2" t="s">
        <v>9</v>
      </c>
      <c r="H45" s="2" t="s">
        <v>9</v>
      </c>
      <c r="K45" s="2"/>
      <c r="L45" s="9"/>
    </row>
    <row r="46" spans="1:12" x14ac:dyDescent="0.35">
      <c r="A46" s="4">
        <v>45</v>
      </c>
      <c r="B46" s="2">
        <v>125</v>
      </c>
      <c r="C46" s="2" t="s">
        <v>3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9</v>
      </c>
      <c r="K46" s="2"/>
      <c r="L46" s="9"/>
    </row>
    <row r="47" spans="1:12" x14ac:dyDescent="0.35">
      <c r="A47" s="4">
        <v>46</v>
      </c>
      <c r="B47" s="2">
        <v>125</v>
      </c>
      <c r="C47" s="2" t="s">
        <v>3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</row>
    <row r="48" spans="1:12" x14ac:dyDescent="0.35">
      <c r="A48" s="5">
        <v>47</v>
      </c>
      <c r="B48" s="6">
        <v>125</v>
      </c>
      <c r="C48" s="6" t="s">
        <v>3</v>
      </c>
      <c r="D48" s="6" t="s">
        <v>9</v>
      </c>
      <c r="E48" s="6" t="s">
        <v>9</v>
      </c>
      <c r="F48" s="6" t="s">
        <v>9</v>
      </c>
      <c r="G48" s="6" t="s">
        <v>9</v>
      </c>
      <c r="H48" s="6" t="s">
        <v>9</v>
      </c>
    </row>
    <row r="49" spans="1:11" x14ac:dyDescent="0.35">
      <c r="A49" s="4">
        <v>48</v>
      </c>
      <c r="B49" s="2">
        <v>63</v>
      </c>
      <c r="C49" s="2" t="s">
        <v>3</v>
      </c>
      <c r="D49" s="8" t="s">
        <v>11</v>
      </c>
      <c r="E49" s="8" t="s">
        <v>9</v>
      </c>
      <c r="F49" s="8" t="s">
        <v>9</v>
      </c>
      <c r="G49" s="8" t="s">
        <v>9</v>
      </c>
      <c r="H49" s="8" t="s">
        <v>11</v>
      </c>
    </row>
    <row r="50" spans="1:11" x14ac:dyDescent="0.35">
      <c r="A50" s="4">
        <v>49</v>
      </c>
      <c r="B50" s="2">
        <v>63</v>
      </c>
      <c r="C50" s="2" t="s">
        <v>3</v>
      </c>
      <c r="D50" s="2" t="s">
        <v>11</v>
      </c>
      <c r="E50" s="2" t="s">
        <v>11</v>
      </c>
      <c r="F50" s="2" t="s">
        <v>11</v>
      </c>
      <c r="G50" s="2" t="s">
        <v>11</v>
      </c>
      <c r="H50" s="2" t="s">
        <v>11</v>
      </c>
    </row>
    <row r="51" spans="1:11" x14ac:dyDescent="0.35">
      <c r="A51" s="4">
        <v>50</v>
      </c>
      <c r="B51" s="2">
        <v>63</v>
      </c>
      <c r="C51" s="2" t="s">
        <v>3</v>
      </c>
      <c r="D51" s="2" t="s">
        <v>11</v>
      </c>
      <c r="E51" s="2" t="s">
        <v>11</v>
      </c>
      <c r="F51" s="2" t="s">
        <v>11</v>
      </c>
      <c r="G51" s="2" t="s">
        <v>11</v>
      </c>
      <c r="H51" s="2" t="s">
        <v>9</v>
      </c>
    </row>
    <row r="52" spans="1:11" x14ac:dyDescent="0.35">
      <c r="A52" s="4">
        <v>51</v>
      </c>
      <c r="B52" s="2">
        <v>63</v>
      </c>
      <c r="C52" s="2" t="s">
        <v>3</v>
      </c>
      <c r="D52" s="2" t="s">
        <v>11</v>
      </c>
      <c r="E52" s="2" t="s">
        <v>11</v>
      </c>
      <c r="F52" s="2" t="s">
        <v>11</v>
      </c>
      <c r="G52" s="2" t="s">
        <v>9</v>
      </c>
      <c r="H52" s="2" t="s">
        <v>11</v>
      </c>
    </row>
    <row r="53" spans="1:11" x14ac:dyDescent="0.35">
      <c r="A53" s="4">
        <v>52</v>
      </c>
      <c r="B53" s="2">
        <v>63</v>
      </c>
      <c r="C53" s="2" t="s">
        <v>3</v>
      </c>
      <c r="D53" s="2" t="s">
        <v>9</v>
      </c>
      <c r="E53" s="2" t="s">
        <v>11</v>
      </c>
      <c r="F53" s="2" t="s">
        <v>11</v>
      </c>
      <c r="G53" s="2" t="s">
        <v>11</v>
      </c>
      <c r="H53" s="2" t="s">
        <v>11</v>
      </c>
      <c r="J53" s="2" t="s">
        <v>23</v>
      </c>
      <c r="K53">
        <f>(COUNTIF(D49:H58,"p"))/50</f>
        <v>0.18</v>
      </c>
    </row>
    <row r="54" spans="1:11" x14ac:dyDescent="0.35">
      <c r="A54" s="4">
        <v>53</v>
      </c>
      <c r="B54" s="2">
        <v>63</v>
      </c>
      <c r="C54" s="2" t="s">
        <v>3</v>
      </c>
      <c r="D54" s="2" t="s">
        <v>11</v>
      </c>
      <c r="E54" s="2" t="s">
        <v>11</v>
      </c>
      <c r="F54" s="2" t="s">
        <v>11</v>
      </c>
      <c r="G54" s="2" t="s">
        <v>11</v>
      </c>
      <c r="H54" s="2" t="s">
        <v>11</v>
      </c>
    </row>
    <row r="55" spans="1:11" x14ac:dyDescent="0.35">
      <c r="A55" s="4">
        <v>54</v>
      </c>
      <c r="B55" s="2">
        <v>63</v>
      </c>
      <c r="C55" s="2" t="s">
        <v>3</v>
      </c>
      <c r="D55" s="2" t="s">
        <v>11</v>
      </c>
      <c r="E55" s="2" t="s">
        <v>11</v>
      </c>
      <c r="F55" s="2" t="s">
        <v>11</v>
      </c>
      <c r="G55" s="2" t="s">
        <v>11</v>
      </c>
      <c r="H55" s="2" t="s">
        <v>11</v>
      </c>
    </row>
    <row r="56" spans="1:11" x14ac:dyDescent="0.35">
      <c r="A56" s="4">
        <v>55</v>
      </c>
      <c r="B56" s="2">
        <v>63</v>
      </c>
      <c r="C56" s="2" t="s">
        <v>3</v>
      </c>
      <c r="D56" s="2" t="s">
        <v>11</v>
      </c>
      <c r="E56" s="2" t="s">
        <v>11</v>
      </c>
      <c r="F56" s="2" t="s">
        <v>11</v>
      </c>
      <c r="G56" s="2" t="s">
        <v>11</v>
      </c>
      <c r="H56" s="2" t="s">
        <v>9</v>
      </c>
    </row>
    <row r="57" spans="1:11" x14ac:dyDescent="0.35">
      <c r="A57" s="4">
        <v>56</v>
      </c>
      <c r="B57" s="2">
        <v>63</v>
      </c>
      <c r="C57" s="2" t="s">
        <v>3</v>
      </c>
      <c r="D57" s="2" t="s">
        <v>11</v>
      </c>
      <c r="E57" s="2" t="s">
        <v>11</v>
      </c>
      <c r="F57" s="2" t="s">
        <v>9</v>
      </c>
      <c r="G57" s="2" t="s">
        <v>9</v>
      </c>
      <c r="H57" s="2" t="s">
        <v>11</v>
      </c>
    </row>
    <row r="58" spans="1:11" x14ac:dyDescent="0.35">
      <c r="A58" s="5">
        <v>57</v>
      </c>
      <c r="B58" s="6">
        <v>63</v>
      </c>
      <c r="C58" s="6" t="s">
        <v>3</v>
      </c>
      <c r="D58" s="6" t="s">
        <v>11</v>
      </c>
      <c r="E58" s="6" t="s">
        <v>11</v>
      </c>
      <c r="F58" s="6" t="s">
        <v>11</v>
      </c>
      <c r="G58" s="6" t="s">
        <v>11</v>
      </c>
      <c r="H58" s="6" t="s">
        <v>11</v>
      </c>
    </row>
    <row r="59" spans="1:11" x14ac:dyDescent="0.35">
      <c r="A59" s="4">
        <v>58</v>
      </c>
      <c r="B59" s="2">
        <v>31</v>
      </c>
      <c r="C59" s="2" t="s">
        <v>3</v>
      </c>
      <c r="D59" s="2"/>
      <c r="E59" s="2"/>
      <c r="F59" s="2"/>
      <c r="G59" s="2"/>
      <c r="H59" s="2"/>
    </row>
    <row r="60" spans="1:11" x14ac:dyDescent="0.35">
      <c r="A60" s="4">
        <v>59</v>
      </c>
      <c r="B60" s="2">
        <v>31</v>
      </c>
      <c r="C60" s="2" t="s">
        <v>3</v>
      </c>
      <c r="D60" s="2"/>
      <c r="E60" s="2"/>
      <c r="F60" s="2"/>
      <c r="G60" s="2"/>
      <c r="H60" s="2"/>
    </row>
    <row r="61" spans="1:11" x14ac:dyDescent="0.35">
      <c r="A61" s="4">
        <v>60</v>
      </c>
      <c r="B61" s="2">
        <v>31</v>
      </c>
      <c r="C61" s="2" t="s">
        <v>3</v>
      </c>
      <c r="D61" s="2"/>
      <c r="E61" s="2"/>
      <c r="F61" s="2"/>
      <c r="G61" s="2"/>
      <c r="H61" s="2"/>
    </row>
    <row r="62" spans="1:11" x14ac:dyDescent="0.35">
      <c r="A62" s="4">
        <v>61</v>
      </c>
      <c r="B62" s="2">
        <v>31</v>
      </c>
      <c r="C62" s="2" t="s">
        <v>3</v>
      </c>
      <c r="D62" s="2"/>
      <c r="E62" s="2"/>
      <c r="F62" s="2"/>
      <c r="G62" s="2"/>
      <c r="H62" s="2"/>
    </row>
    <row r="63" spans="1:11" x14ac:dyDescent="0.35">
      <c r="A63" s="4">
        <v>62</v>
      </c>
      <c r="B63" s="2">
        <v>31</v>
      </c>
      <c r="C63" s="2" t="s">
        <v>3</v>
      </c>
      <c r="D63" s="2"/>
      <c r="E63" s="2"/>
      <c r="F63" s="2"/>
      <c r="G63" s="2"/>
      <c r="H63" s="2"/>
    </row>
    <row r="64" spans="1:11" x14ac:dyDescent="0.35">
      <c r="A64" s="4">
        <v>63</v>
      </c>
      <c r="B64" s="2">
        <v>31</v>
      </c>
      <c r="C64" s="2" t="s">
        <v>3</v>
      </c>
      <c r="D64" s="2"/>
      <c r="E64" s="2"/>
      <c r="F64" s="2"/>
      <c r="G64" s="2"/>
      <c r="H64" s="2"/>
    </row>
    <row r="65" spans="1:8" x14ac:dyDescent="0.35">
      <c r="A65" s="4">
        <v>64</v>
      </c>
      <c r="B65" s="2">
        <v>31</v>
      </c>
      <c r="C65" s="2" t="s">
        <v>3</v>
      </c>
      <c r="D65" s="2"/>
      <c r="E65" s="2"/>
      <c r="F65" s="2"/>
      <c r="G65" s="2"/>
      <c r="H65" s="2"/>
    </row>
    <row r="66" spans="1:8" x14ac:dyDescent="0.35">
      <c r="A66" s="4">
        <v>65</v>
      </c>
      <c r="B66" s="2">
        <v>31</v>
      </c>
      <c r="C66" s="2" t="s">
        <v>3</v>
      </c>
      <c r="D66" s="2"/>
      <c r="E66" s="2"/>
      <c r="F66" s="2"/>
      <c r="G66" s="2"/>
      <c r="H66" s="2"/>
    </row>
    <row r="67" spans="1:8" x14ac:dyDescent="0.35">
      <c r="A67" s="4">
        <v>66</v>
      </c>
      <c r="B67" s="2">
        <v>31</v>
      </c>
      <c r="C67" s="2" t="s">
        <v>3</v>
      </c>
      <c r="D67" s="2"/>
      <c r="E67" s="2"/>
      <c r="F67" s="2"/>
      <c r="G67" s="2"/>
      <c r="H67" s="2"/>
    </row>
    <row r="68" spans="1:8" x14ac:dyDescent="0.35">
      <c r="A68" s="5">
        <v>67</v>
      </c>
      <c r="B68" s="6">
        <v>31</v>
      </c>
      <c r="C68" s="6" t="s">
        <v>3</v>
      </c>
      <c r="D68" s="6"/>
      <c r="E68" s="6"/>
      <c r="F68" s="6"/>
      <c r="G68" s="6"/>
      <c r="H68" s="6"/>
    </row>
    <row r="69" spans="1:8" x14ac:dyDescent="0.35">
      <c r="A69" s="4">
        <v>68</v>
      </c>
      <c r="B69" s="2">
        <v>16</v>
      </c>
      <c r="C69" s="2" t="s">
        <v>3</v>
      </c>
      <c r="D69" s="2"/>
      <c r="E69" s="2"/>
      <c r="F69" s="2"/>
      <c r="G69" s="2"/>
      <c r="H69" s="2"/>
    </row>
    <row r="70" spans="1:8" x14ac:dyDescent="0.35">
      <c r="A70" s="4">
        <v>69</v>
      </c>
      <c r="B70" s="2">
        <v>16</v>
      </c>
      <c r="C70" s="2" t="s">
        <v>3</v>
      </c>
      <c r="D70" s="2"/>
      <c r="E70" s="2"/>
      <c r="F70" s="2"/>
      <c r="G70" s="2"/>
      <c r="H70" s="2"/>
    </row>
    <row r="71" spans="1:8" x14ac:dyDescent="0.35">
      <c r="A71" s="4">
        <v>70</v>
      </c>
      <c r="B71" s="2">
        <v>16</v>
      </c>
      <c r="C71" s="2" t="s">
        <v>3</v>
      </c>
      <c r="D71" s="2"/>
      <c r="E71" s="2"/>
      <c r="F71" s="2"/>
      <c r="G71" s="2"/>
      <c r="H71" s="2"/>
    </row>
    <row r="72" spans="1:8" x14ac:dyDescent="0.35">
      <c r="A72" s="4">
        <v>71</v>
      </c>
      <c r="B72" s="2">
        <v>16</v>
      </c>
      <c r="C72" s="2" t="s">
        <v>3</v>
      </c>
      <c r="D72" s="2"/>
      <c r="E72" s="2"/>
      <c r="F72" s="2"/>
      <c r="G72" s="2"/>
      <c r="H72" s="2"/>
    </row>
    <row r="73" spans="1:8" x14ac:dyDescent="0.35">
      <c r="A73" s="4">
        <v>72</v>
      </c>
      <c r="B73" s="2">
        <v>16</v>
      </c>
      <c r="C73" s="2" t="s">
        <v>3</v>
      </c>
      <c r="D73" s="2"/>
      <c r="E73" s="2"/>
      <c r="F73" s="2"/>
      <c r="G73" s="2"/>
      <c r="H73" s="2"/>
    </row>
    <row r="74" spans="1:8" x14ac:dyDescent="0.35">
      <c r="A74" s="4">
        <v>73</v>
      </c>
      <c r="B74" s="2">
        <v>16</v>
      </c>
      <c r="C74" s="2" t="s">
        <v>3</v>
      </c>
      <c r="D74" s="2"/>
      <c r="E74" s="2"/>
      <c r="F74" s="2"/>
      <c r="G74" s="2"/>
      <c r="H74" s="2"/>
    </row>
    <row r="75" spans="1:8" x14ac:dyDescent="0.35">
      <c r="A75" s="4">
        <v>74</v>
      </c>
      <c r="B75" s="2">
        <v>16</v>
      </c>
      <c r="C75" s="2" t="s">
        <v>3</v>
      </c>
      <c r="D75" s="2"/>
      <c r="E75" s="2"/>
      <c r="F75" s="2"/>
      <c r="G75" s="2"/>
      <c r="H75" s="2"/>
    </row>
    <row r="76" spans="1:8" x14ac:dyDescent="0.35">
      <c r="A76" s="4">
        <v>75</v>
      </c>
      <c r="B76" s="2">
        <v>16</v>
      </c>
      <c r="C76" s="2" t="s">
        <v>3</v>
      </c>
      <c r="D76" s="2"/>
      <c r="E76" s="2"/>
      <c r="F76" s="2"/>
      <c r="G76" s="2"/>
      <c r="H76" s="2"/>
    </row>
    <row r="77" spans="1:8" x14ac:dyDescent="0.35">
      <c r="A77" s="4">
        <v>76</v>
      </c>
      <c r="B77" s="2">
        <v>16</v>
      </c>
      <c r="C77" s="2" t="s">
        <v>3</v>
      </c>
      <c r="D77" s="2"/>
      <c r="E77" s="2"/>
      <c r="F77" s="2"/>
      <c r="G77" s="2"/>
      <c r="H77" s="2"/>
    </row>
    <row r="78" spans="1:8" x14ac:dyDescent="0.35">
      <c r="A78" s="4">
        <v>77</v>
      </c>
      <c r="B78" s="2">
        <v>16</v>
      </c>
      <c r="C78" s="2" t="s">
        <v>3</v>
      </c>
      <c r="D78" s="2"/>
      <c r="E78" s="2"/>
      <c r="F78" s="2"/>
      <c r="G78" s="2"/>
      <c r="H78" s="2"/>
    </row>
  </sheetData>
  <conditionalFormatting sqref="C2:C78">
    <cfRule type="cellIs" dxfId="9" priority="3" operator="equal">
      <formula>"N"</formula>
    </cfRule>
    <cfRule type="cellIs" dxfId="8" priority="4" operator="equal">
      <formula>"P"</formula>
    </cfRule>
  </conditionalFormatting>
  <conditionalFormatting sqref="D1:H78 I27 J41:J42 K45:K46 J53">
    <cfRule type="cellIs" dxfId="7" priority="5" operator="equal">
      <formula>"N"</formula>
    </cfRule>
    <cfRule type="cellIs" dxfId="6" priority="6" operator="equal">
      <formula>"P"</formula>
    </cfRule>
  </conditionalFormatting>
  <conditionalFormatting sqref="K38:K39">
    <cfRule type="cellIs" dxfId="5" priority="1" operator="equal">
      <formula>"N"</formula>
    </cfRule>
    <cfRule type="cellIs" dxfId="4" priority="2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F319-4A5D-4501-823D-17812F6491D7}">
  <dimension ref="A1:H49"/>
  <sheetViews>
    <sheetView zoomScaleNormal="100" workbookViewId="0">
      <selection activeCell="J13" sqref="J13"/>
    </sheetView>
  </sheetViews>
  <sheetFormatPr defaultRowHeight="14.5" x14ac:dyDescent="0.35"/>
  <cols>
    <col min="1" max="1" width="7.54296875" bestFit="1" customWidth="1"/>
    <col min="2" max="2" width="19.453125" bestFit="1" customWidth="1"/>
    <col min="3" max="3" width="10" bestFit="1" customWidth="1"/>
    <col min="4" max="8" width="10.81640625" customWidth="1"/>
  </cols>
  <sheetData>
    <row r="1" spans="1:8" x14ac:dyDescent="0.35">
      <c r="A1" s="3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4">
        <v>1</v>
      </c>
      <c r="B2" s="2">
        <v>0</v>
      </c>
      <c r="C2" s="2" t="s">
        <v>10</v>
      </c>
      <c r="D2" s="2"/>
      <c r="E2" s="2"/>
      <c r="F2" s="2"/>
      <c r="G2" s="2"/>
      <c r="H2" s="2"/>
    </row>
    <row r="3" spans="1:8" x14ac:dyDescent="0.35">
      <c r="A3" s="4">
        <v>2</v>
      </c>
      <c r="B3" s="2">
        <v>0</v>
      </c>
      <c r="C3" s="2" t="s">
        <v>10</v>
      </c>
      <c r="D3" s="2"/>
      <c r="E3" s="2"/>
      <c r="F3" s="2"/>
      <c r="G3" s="2"/>
      <c r="H3" s="2"/>
    </row>
    <row r="4" spans="1:8" x14ac:dyDescent="0.35">
      <c r="A4" s="4">
        <v>3</v>
      </c>
      <c r="B4" s="2">
        <v>0</v>
      </c>
      <c r="C4" s="2" t="s">
        <v>10</v>
      </c>
      <c r="D4" s="2"/>
      <c r="E4" s="2"/>
      <c r="F4" s="2"/>
      <c r="G4" s="2"/>
      <c r="H4" s="2"/>
    </row>
    <row r="5" spans="1:8" x14ac:dyDescent="0.35">
      <c r="A5" s="4">
        <v>4</v>
      </c>
      <c r="B5" s="2">
        <v>0</v>
      </c>
      <c r="C5" s="2" t="s">
        <v>10</v>
      </c>
      <c r="D5" s="2"/>
      <c r="E5" s="2"/>
      <c r="F5" s="2"/>
      <c r="G5" s="2"/>
      <c r="H5" s="2"/>
    </row>
    <row r="6" spans="1:8" x14ac:dyDescent="0.35">
      <c r="A6" s="4">
        <v>5</v>
      </c>
      <c r="B6" s="2">
        <v>0</v>
      </c>
      <c r="C6" s="2" t="s">
        <v>10</v>
      </c>
      <c r="D6" s="2"/>
      <c r="E6" s="2"/>
      <c r="F6" s="2"/>
      <c r="G6" s="2"/>
      <c r="H6" s="2"/>
    </row>
    <row r="7" spans="1:8" x14ac:dyDescent="0.35">
      <c r="A7" s="4">
        <v>6</v>
      </c>
      <c r="B7" s="2">
        <v>0</v>
      </c>
      <c r="C7" s="2" t="s">
        <v>10</v>
      </c>
      <c r="D7" s="2"/>
      <c r="E7" s="2"/>
      <c r="F7" s="2"/>
      <c r="G7" s="2"/>
      <c r="H7" s="2"/>
    </row>
    <row r="8" spans="1:8" x14ac:dyDescent="0.35">
      <c r="A8" s="4">
        <v>7</v>
      </c>
      <c r="B8" s="2">
        <v>0</v>
      </c>
      <c r="C8" s="2" t="s">
        <v>10</v>
      </c>
      <c r="D8" s="2"/>
      <c r="E8" s="2"/>
      <c r="F8" s="2"/>
      <c r="G8" s="2"/>
      <c r="H8" s="2"/>
    </row>
    <row r="9" spans="1:8" x14ac:dyDescent="0.35">
      <c r="A9" s="4">
        <v>8</v>
      </c>
      <c r="B9" s="2">
        <v>0</v>
      </c>
      <c r="C9" s="2" t="s">
        <v>10</v>
      </c>
      <c r="D9" s="2"/>
      <c r="E9" s="2"/>
      <c r="F9" s="2"/>
      <c r="G9" s="2"/>
      <c r="H9" s="2"/>
    </row>
    <row r="10" spans="1:8" x14ac:dyDescent="0.35">
      <c r="A10" s="4">
        <v>9</v>
      </c>
      <c r="B10" s="2">
        <v>0</v>
      </c>
      <c r="C10" s="2" t="s">
        <v>10</v>
      </c>
      <c r="D10" s="2"/>
      <c r="E10" s="2"/>
      <c r="F10" s="2"/>
      <c r="G10" s="2"/>
      <c r="H10" s="2"/>
    </row>
    <row r="11" spans="1:8" x14ac:dyDescent="0.35">
      <c r="A11" s="4">
        <v>10</v>
      </c>
      <c r="B11" s="2">
        <v>0</v>
      </c>
      <c r="C11" s="2" t="s">
        <v>10</v>
      </c>
      <c r="D11" s="2"/>
      <c r="E11" s="2"/>
      <c r="F11" s="2"/>
      <c r="G11" s="2"/>
      <c r="H11" s="2"/>
    </row>
    <row r="12" spans="1:8" x14ac:dyDescent="0.35">
      <c r="A12" s="4">
        <v>11</v>
      </c>
      <c r="B12" s="2">
        <v>0</v>
      </c>
      <c r="C12" s="2" t="s">
        <v>10</v>
      </c>
      <c r="D12" s="2"/>
      <c r="E12" s="2"/>
      <c r="F12" s="2"/>
      <c r="G12" s="2"/>
      <c r="H12" s="2"/>
    </row>
    <row r="13" spans="1:8" x14ac:dyDescent="0.35">
      <c r="A13" s="4">
        <v>12</v>
      </c>
      <c r="B13" s="2">
        <v>0</v>
      </c>
      <c r="C13" s="2" t="s">
        <v>10</v>
      </c>
      <c r="D13" s="2"/>
      <c r="E13" s="2"/>
      <c r="F13" s="2"/>
      <c r="G13" s="2"/>
      <c r="H13" s="2"/>
    </row>
    <row r="14" spans="1:8" x14ac:dyDescent="0.35">
      <c r="A14" s="4">
        <v>13</v>
      </c>
      <c r="B14" s="2">
        <v>0</v>
      </c>
      <c r="C14" s="2" t="s">
        <v>10</v>
      </c>
      <c r="D14" s="2"/>
      <c r="E14" s="2"/>
      <c r="F14" s="2"/>
      <c r="G14" s="2"/>
      <c r="H14" s="2"/>
    </row>
    <row r="15" spans="1:8" x14ac:dyDescent="0.35">
      <c r="A15" s="4">
        <v>14</v>
      </c>
      <c r="B15" s="2">
        <v>0</v>
      </c>
      <c r="C15" s="2" t="s">
        <v>10</v>
      </c>
      <c r="D15" s="2"/>
      <c r="E15" s="2"/>
      <c r="F15" s="2"/>
      <c r="G15" s="2"/>
      <c r="H15" s="2"/>
    </row>
    <row r="16" spans="1:8" x14ac:dyDescent="0.35">
      <c r="A16" s="4">
        <v>15</v>
      </c>
      <c r="B16" s="2">
        <v>0</v>
      </c>
      <c r="C16" s="2" t="s">
        <v>10</v>
      </c>
      <c r="D16" s="2"/>
      <c r="E16" s="2"/>
      <c r="F16" s="2"/>
      <c r="G16" s="2"/>
      <c r="H16" s="2"/>
    </row>
    <row r="17" spans="1:8" x14ac:dyDescent="0.35">
      <c r="A17" s="4">
        <v>16</v>
      </c>
      <c r="B17" s="2">
        <v>0</v>
      </c>
      <c r="C17" s="2" t="s">
        <v>10</v>
      </c>
      <c r="D17" s="2"/>
      <c r="E17" s="2"/>
      <c r="F17" s="2"/>
      <c r="G17" s="2"/>
      <c r="H17" s="2"/>
    </row>
    <row r="18" spans="1:8" x14ac:dyDescent="0.35">
      <c r="A18" s="4">
        <v>17</v>
      </c>
      <c r="B18" s="2">
        <v>0</v>
      </c>
      <c r="C18" s="2" t="s">
        <v>10</v>
      </c>
      <c r="D18" s="2"/>
      <c r="E18" s="2"/>
      <c r="F18" s="2"/>
      <c r="G18" s="2"/>
      <c r="H18" s="2"/>
    </row>
    <row r="19" spans="1:8" x14ac:dyDescent="0.35">
      <c r="A19" s="4">
        <v>18</v>
      </c>
      <c r="B19" s="2">
        <v>0</v>
      </c>
      <c r="C19" s="2" t="s">
        <v>10</v>
      </c>
      <c r="D19" s="2"/>
      <c r="E19" s="2"/>
      <c r="F19" s="2"/>
      <c r="G19" s="2"/>
      <c r="H19" s="2"/>
    </row>
    <row r="20" spans="1:8" x14ac:dyDescent="0.35">
      <c r="A20" s="4">
        <v>19</v>
      </c>
      <c r="B20" s="2">
        <v>0</v>
      </c>
      <c r="C20" s="2" t="s">
        <v>10</v>
      </c>
      <c r="D20" s="2"/>
      <c r="E20" s="2"/>
      <c r="F20" s="2"/>
      <c r="G20" s="2"/>
      <c r="H20" s="2"/>
    </row>
    <row r="21" spans="1:8" x14ac:dyDescent="0.35">
      <c r="A21" s="4">
        <v>20</v>
      </c>
      <c r="B21" s="2">
        <v>0</v>
      </c>
      <c r="C21" s="2" t="s">
        <v>10</v>
      </c>
      <c r="D21" s="2"/>
      <c r="E21" s="2"/>
      <c r="F21" s="2"/>
      <c r="G21" s="2"/>
      <c r="H21" s="2"/>
    </row>
    <row r="22" spans="1:8" x14ac:dyDescent="0.35">
      <c r="A22" s="4">
        <v>21</v>
      </c>
      <c r="B22" s="2">
        <v>0</v>
      </c>
      <c r="C22" s="2" t="s">
        <v>10</v>
      </c>
      <c r="D22" s="2"/>
      <c r="E22" s="2"/>
      <c r="F22" s="2"/>
      <c r="G22" s="2"/>
      <c r="H22" s="2"/>
    </row>
    <row r="23" spans="1:8" x14ac:dyDescent="0.35">
      <c r="A23" s="4">
        <v>22</v>
      </c>
      <c r="B23" s="2">
        <v>0</v>
      </c>
      <c r="C23" s="2" t="s">
        <v>10</v>
      </c>
      <c r="D23" s="2"/>
      <c r="E23" s="2"/>
      <c r="F23" s="2"/>
      <c r="G23" s="2"/>
      <c r="H23" s="2"/>
    </row>
    <row r="24" spans="1:8" x14ac:dyDescent="0.35">
      <c r="A24" s="4">
        <v>23</v>
      </c>
      <c r="B24" s="2">
        <v>0</v>
      </c>
      <c r="C24" s="2" t="s">
        <v>10</v>
      </c>
      <c r="D24" s="2"/>
      <c r="E24" s="2"/>
      <c r="F24" s="2"/>
      <c r="G24" s="2"/>
      <c r="H24" s="2"/>
    </row>
    <row r="25" spans="1:8" x14ac:dyDescent="0.35">
      <c r="A25" s="4">
        <v>24</v>
      </c>
      <c r="B25" s="2">
        <v>0</v>
      </c>
      <c r="C25" s="2" t="s">
        <v>10</v>
      </c>
      <c r="D25" s="2"/>
      <c r="E25" s="2"/>
      <c r="F25" s="2"/>
      <c r="G25" s="2"/>
      <c r="H25" s="2"/>
    </row>
    <row r="26" spans="1:8" x14ac:dyDescent="0.35">
      <c r="A26" s="4">
        <v>25</v>
      </c>
      <c r="B26" s="2">
        <v>0</v>
      </c>
      <c r="C26" s="2" t="s">
        <v>10</v>
      </c>
      <c r="D26" s="2"/>
      <c r="E26" s="2"/>
      <c r="F26" s="2"/>
      <c r="G26" s="2"/>
      <c r="H26" s="2"/>
    </row>
    <row r="27" spans="1:8" x14ac:dyDescent="0.35">
      <c r="A27" s="4">
        <v>26</v>
      </c>
      <c r="B27" s="2">
        <v>0</v>
      </c>
      <c r="C27" s="2" t="s">
        <v>10</v>
      </c>
      <c r="D27" s="2"/>
      <c r="E27" s="2"/>
      <c r="F27" s="2"/>
      <c r="G27" s="2"/>
      <c r="H27" s="2"/>
    </row>
    <row r="28" spans="1:8" x14ac:dyDescent="0.35">
      <c r="A28" s="4">
        <v>27</v>
      </c>
      <c r="B28" s="2">
        <v>0</v>
      </c>
      <c r="C28" s="2" t="s">
        <v>10</v>
      </c>
      <c r="D28" s="2"/>
      <c r="E28" s="2"/>
      <c r="F28" s="2"/>
      <c r="G28" s="2"/>
      <c r="H28" s="2"/>
    </row>
    <row r="29" spans="1:8" x14ac:dyDescent="0.35">
      <c r="A29" s="4">
        <v>28</v>
      </c>
      <c r="B29" s="2">
        <v>0</v>
      </c>
      <c r="C29" s="2" t="s">
        <v>10</v>
      </c>
      <c r="D29" s="2"/>
      <c r="E29" s="2"/>
      <c r="F29" s="2"/>
      <c r="G29" s="2"/>
      <c r="H29" s="2"/>
    </row>
    <row r="30" spans="1:8" x14ac:dyDescent="0.35">
      <c r="A30" s="4">
        <v>29</v>
      </c>
      <c r="B30" s="2">
        <v>0</v>
      </c>
      <c r="C30" s="2" t="s">
        <v>10</v>
      </c>
      <c r="D30" s="2"/>
      <c r="E30" s="2"/>
      <c r="F30" s="2"/>
      <c r="G30" s="2"/>
      <c r="H30" s="2"/>
    </row>
    <row r="31" spans="1:8" x14ac:dyDescent="0.35">
      <c r="A31" s="4">
        <v>30</v>
      </c>
      <c r="B31" s="2">
        <v>0</v>
      </c>
      <c r="C31" s="2" t="s">
        <v>10</v>
      </c>
      <c r="D31" s="2"/>
      <c r="E31" s="2"/>
      <c r="F31" s="2"/>
      <c r="G31" s="2"/>
      <c r="H31" s="2"/>
    </row>
    <row r="32" spans="1:8" x14ac:dyDescent="0.35">
      <c r="A32" s="4">
        <v>31</v>
      </c>
      <c r="B32" s="2">
        <v>0</v>
      </c>
      <c r="C32" s="2" t="s">
        <v>10</v>
      </c>
      <c r="D32" s="2"/>
      <c r="E32" s="2"/>
      <c r="F32" s="2"/>
      <c r="G32" s="2"/>
      <c r="H32" s="2"/>
    </row>
    <row r="33" spans="1:8" x14ac:dyDescent="0.35">
      <c r="A33" s="4">
        <v>32</v>
      </c>
      <c r="B33" s="2">
        <v>0</v>
      </c>
      <c r="C33" s="2" t="s">
        <v>10</v>
      </c>
      <c r="D33" s="2"/>
      <c r="E33" s="2"/>
      <c r="F33" s="2"/>
      <c r="G33" s="2"/>
      <c r="H33" s="2"/>
    </row>
    <row r="34" spans="1:8" x14ac:dyDescent="0.35">
      <c r="A34" s="4">
        <v>33</v>
      </c>
      <c r="B34" s="2">
        <v>0</v>
      </c>
      <c r="C34" s="2" t="s">
        <v>10</v>
      </c>
      <c r="D34" s="2"/>
      <c r="E34" s="2"/>
      <c r="F34" s="2"/>
      <c r="G34" s="2"/>
      <c r="H34" s="2"/>
    </row>
    <row r="35" spans="1:8" x14ac:dyDescent="0.35">
      <c r="A35" s="4">
        <v>34</v>
      </c>
      <c r="B35" s="2">
        <v>0</v>
      </c>
      <c r="C35" s="2" t="s">
        <v>10</v>
      </c>
      <c r="D35" s="2"/>
      <c r="E35" s="2"/>
      <c r="F35" s="2"/>
      <c r="G35" s="2"/>
      <c r="H35" s="2"/>
    </row>
    <row r="36" spans="1:8" x14ac:dyDescent="0.35">
      <c r="A36" s="4">
        <v>35</v>
      </c>
      <c r="B36" s="2">
        <v>0</v>
      </c>
      <c r="C36" s="2" t="s">
        <v>10</v>
      </c>
      <c r="D36" s="2"/>
      <c r="E36" s="2"/>
      <c r="F36" s="2"/>
      <c r="G36" s="2"/>
      <c r="H36" s="2"/>
    </row>
    <row r="37" spans="1:8" x14ac:dyDescent="0.35">
      <c r="A37" s="4">
        <v>36</v>
      </c>
      <c r="B37" s="2">
        <v>0</v>
      </c>
      <c r="C37" s="2" t="s">
        <v>10</v>
      </c>
      <c r="D37" s="2"/>
      <c r="E37" s="2"/>
      <c r="F37" s="2"/>
      <c r="G37" s="2"/>
      <c r="H37" s="2"/>
    </row>
    <row r="38" spans="1:8" x14ac:dyDescent="0.35">
      <c r="A38" s="4">
        <v>37</v>
      </c>
      <c r="B38" s="2">
        <v>0</v>
      </c>
      <c r="C38" s="2" t="s">
        <v>10</v>
      </c>
      <c r="D38" s="2"/>
      <c r="E38" s="2"/>
      <c r="F38" s="2"/>
      <c r="G38" s="2"/>
      <c r="H38" s="2"/>
    </row>
    <row r="39" spans="1:8" x14ac:dyDescent="0.35">
      <c r="A39" s="4">
        <v>38</v>
      </c>
      <c r="B39" s="2">
        <v>0</v>
      </c>
      <c r="C39" s="2" t="s">
        <v>10</v>
      </c>
      <c r="D39" s="2"/>
      <c r="E39" s="2"/>
      <c r="F39" s="2"/>
      <c r="G39" s="2"/>
      <c r="H39" s="2"/>
    </row>
    <row r="40" spans="1:8" x14ac:dyDescent="0.35">
      <c r="A40" s="4">
        <v>39</v>
      </c>
      <c r="B40" s="2">
        <v>0</v>
      </c>
      <c r="C40" s="2" t="s">
        <v>10</v>
      </c>
      <c r="D40" s="2"/>
      <c r="E40" s="2"/>
      <c r="F40" s="2"/>
      <c r="G40" s="2"/>
      <c r="H40" s="2"/>
    </row>
    <row r="41" spans="1:8" x14ac:dyDescent="0.35">
      <c r="A41" s="4">
        <v>40</v>
      </c>
      <c r="B41" s="2">
        <v>0</v>
      </c>
      <c r="C41" s="2" t="s">
        <v>10</v>
      </c>
      <c r="D41" s="2"/>
      <c r="E41" s="2"/>
      <c r="F41" s="2"/>
      <c r="G41" s="2"/>
      <c r="H41" s="2"/>
    </row>
    <row r="42" spans="1:8" x14ac:dyDescent="0.35">
      <c r="A42" s="4">
        <v>41</v>
      </c>
      <c r="B42" s="2">
        <v>0</v>
      </c>
      <c r="C42" s="2" t="s">
        <v>10</v>
      </c>
      <c r="D42" s="2"/>
      <c r="E42" s="2"/>
      <c r="F42" s="2"/>
      <c r="G42" s="2"/>
      <c r="H42" s="2"/>
    </row>
    <row r="43" spans="1:8" x14ac:dyDescent="0.35">
      <c r="A43" s="4">
        <v>42</v>
      </c>
      <c r="B43" s="2">
        <v>0</v>
      </c>
      <c r="C43" s="2" t="s">
        <v>10</v>
      </c>
      <c r="D43" s="2"/>
      <c r="E43" s="2"/>
      <c r="F43" s="2"/>
      <c r="G43" s="2"/>
      <c r="H43" s="2"/>
    </row>
    <row r="44" spans="1:8" x14ac:dyDescent="0.35">
      <c r="A44" s="4">
        <v>43</v>
      </c>
      <c r="B44" s="2">
        <v>0</v>
      </c>
      <c r="C44" s="2" t="s">
        <v>10</v>
      </c>
      <c r="D44" s="2"/>
      <c r="E44" s="2"/>
      <c r="F44" s="2"/>
      <c r="G44" s="2"/>
      <c r="H44" s="2"/>
    </row>
    <row r="45" spans="1:8" x14ac:dyDescent="0.35">
      <c r="A45" s="4">
        <v>44</v>
      </c>
      <c r="B45" s="2">
        <v>0</v>
      </c>
      <c r="C45" s="2" t="s">
        <v>10</v>
      </c>
      <c r="D45" s="2"/>
      <c r="E45" s="2"/>
      <c r="F45" s="2"/>
      <c r="G45" s="2"/>
      <c r="H45" s="2"/>
    </row>
    <row r="46" spans="1:8" x14ac:dyDescent="0.35">
      <c r="A46" s="4">
        <v>45</v>
      </c>
      <c r="B46" s="2">
        <v>0</v>
      </c>
      <c r="C46" s="2" t="s">
        <v>10</v>
      </c>
      <c r="D46" s="2"/>
      <c r="E46" s="2"/>
      <c r="F46" s="2"/>
      <c r="G46" s="2"/>
      <c r="H46" s="2"/>
    </row>
    <row r="47" spans="1:8" x14ac:dyDescent="0.35">
      <c r="A47" s="4">
        <v>46</v>
      </c>
      <c r="B47" s="2">
        <v>0</v>
      </c>
      <c r="C47" s="2" t="s">
        <v>10</v>
      </c>
      <c r="D47" s="2"/>
      <c r="E47" s="2"/>
      <c r="F47" s="2"/>
      <c r="G47" s="2"/>
      <c r="H47" s="2"/>
    </row>
    <row r="48" spans="1:8" x14ac:dyDescent="0.35">
      <c r="A48" s="4">
        <v>47</v>
      </c>
      <c r="B48" s="2">
        <v>0</v>
      </c>
      <c r="C48" s="2" t="s">
        <v>10</v>
      </c>
      <c r="D48" s="2"/>
      <c r="E48" s="2"/>
      <c r="F48" s="2"/>
      <c r="G48" s="2"/>
      <c r="H48" s="2"/>
    </row>
    <row r="49" spans="1:8" x14ac:dyDescent="0.35">
      <c r="A49" s="4">
        <v>48</v>
      </c>
      <c r="B49" s="2">
        <v>0</v>
      </c>
      <c r="C49" s="2" t="s">
        <v>10</v>
      </c>
      <c r="D49" s="2"/>
      <c r="E49" s="2"/>
      <c r="F49" s="2"/>
      <c r="G49" s="2"/>
      <c r="H49" s="2"/>
    </row>
  </sheetData>
  <conditionalFormatting sqref="C2:C49">
    <cfRule type="cellIs" dxfId="3" priority="1" operator="equal">
      <formula>"N"</formula>
    </cfRule>
    <cfRule type="cellIs" dxfId="2" priority="2" operator="equal">
      <formula>"P"</formula>
    </cfRule>
  </conditionalFormatting>
  <conditionalFormatting sqref="D1:H49">
    <cfRule type="cellIs" dxfId="1" priority="3" operator="equal">
      <formula>"N"</formula>
    </cfRule>
    <cfRule type="cellIs" dxfId="0" priority="4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Pos_NoFlash</vt:lpstr>
      <vt:lpstr>Neg_NoFlash</vt:lpstr>
      <vt:lpstr>Pos_Flash</vt:lpstr>
      <vt:lpstr>Neg_Flash</vt:lpstr>
      <vt:lpstr>Pos_NoFlash_125model</vt:lpstr>
      <vt:lpstr>Neg_NoFlash_125model</vt:lpstr>
      <vt:lpstr>Pos_NoFlash_63model</vt:lpstr>
      <vt:lpstr>Neg_NoFlash_63model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Shvekher</cp:lastModifiedBy>
  <dcterms:created xsi:type="dcterms:W3CDTF">2025-07-04T17:35:49Z</dcterms:created>
  <dcterms:modified xsi:type="dcterms:W3CDTF">2025-07-24T18:37:38Z</dcterms:modified>
</cp:coreProperties>
</file>